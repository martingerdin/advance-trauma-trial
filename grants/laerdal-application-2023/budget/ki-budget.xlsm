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8.xml.rels" ContentType="application/vnd.openxmlformats-package.relationships+xml"/>
  <Override PartName="/xl/worksheets/_rels/sheet5.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5.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4.xml.rels" ContentType="application/vnd.openxmlformats-package.relationships+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customXml/item4.xml" ContentType="application/xml"/>
  <Override PartName="/customXml/itemProps4.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3" activeTab="3"/>
  </bookViews>
  <sheets>
    <sheet name="Tabeller" sheetId="1" state="hidden" r:id="rId3"/>
    <sheet name="Uppdragsforskning" sheetId="2" state="hidden" r:id="rId4"/>
    <sheet name="Inläsning Planner uppdrag" sheetId="3" state="hidden" r:id="rId5"/>
    <sheet name="Research Grant" sheetId="4" state="visible" r:id="rId6"/>
    <sheet name="Budgetering PRISMA" sheetId="5" state="visible" r:id="rId7"/>
    <sheet name="Spec-indir-kostn-inst &amp; -proj" sheetId="6" state="hidden" r:id="rId8"/>
    <sheet name="Inläsning Planner" sheetId="7" state="hidden" r:id="rId9"/>
    <sheet name="INDI FO 2021" sheetId="8" state="hidden" r:id="rId10"/>
  </sheets>
  <definedNames>
    <definedName function="false" hidden="true" localSheetId="7" name="_xlnm._FilterDatabase" vbProcedure="false">'INDI FO 2021'!$A$37:$J$1377</definedName>
    <definedName function="false" hidden="false" localSheetId="6" name="_xlnm.Print_Area" vbProcedure="false">'Inläsning Planner'!$B$11:$J$67</definedName>
    <definedName function="false" hidden="false" localSheetId="2" name="_xlnm.Print_Area" vbProcedure="false">'Inläsning Planner uppdrag'!$B$10:$L$66</definedName>
    <definedName function="false" hidden="false" localSheetId="3" name="_xlnm.Print_Area" vbProcedure="false">'Research Grant'!$B$24:$R$177</definedName>
    <definedName function="false" hidden="false" localSheetId="5" name="_xlnm.Print_Area" vbProcedure="false">'Spec-indir-kostn-inst &amp; -proj'!$A$10:$L$81</definedName>
    <definedName function="false" hidden="false" localSheetId="1" name="_xlnm.Print_Area" vbProcedure="false">Uppdragsforskning!$A$23:$T$153</definedName>
    <definedName function="false" hidden="false" name="TIMKOSTNAD" vbProcedure="false">'research grant'!#ref!</definedName>
    <definedName function="false" hidden="false" name="UppräkningINDI" vbProcedure="false">Tabeller!$E$1:$E$11</definedName>
    <definedName function="false" hidden="false" name="Uppstartsår" vbProcedure="false">Tabeller!$A$1:$A$20</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MGW</author>
  </authors>
  <commentList>
    <comment ref="C70" authorId="0">
      <text>
        <r>
          <rPr>
            <sz val="11"/>
            <color rgb="FF000000"/>
            <rFont val="Arial"/>
            <family val="2"/>
            <charset val="1"/>
          </rPr>
          <t xml:space="preserve">[Threaded comment]
Your version of Excel allows you to read this threaded comment; however, any edits to it will get removed if the file is opened in a newer version of Excel. Learn more: https://go.microsoft.com/fwlink/?linkid=870924
Comment:
    Allt som anges i Löner inklusive sociala avgifter och Driftskostnader summeras automatiskt i tabellen Totalt sökt belopp. Här anges även den sista typen av kostnad: indirekta kostnader/overheadkostnader. Allt summeras slutligen under ”total kostnad” och det är den summan som avses vid budgetbegränsningar för en bidragsform.</t>
        </r>
      </text>
    </comment>
  </commentList>
</comments>
</file>

<file path=xl/sharedStrings.xml><?xml version="1.0" encoding="utf-8"?>
<sst xmlns="http://schemas.openxmlformats.org/spreadsheetml/2006/main" count="1603" uniqueCount="567">
  <si>
    <t xml:space="preserve">01</t>
  </si>
  <si>
    <t xml:space="preserve">02</t>
  </si>
  <si>
    <t xml:space="preserve">03</t>
  </si>
  <si>
    <t xml:space="preserve">04</t>
  </si>
  <si>
    <t xml:space="preserve">05</t>
  </si>
  <si>
    <t xml:space="preserve">06</t>
  </si>
  <si>
    <t xml:space="preserve">07</t>
  </si>
  <si>
    <t xml:space="preserve">08</t>
  </si>
  <si>
    <t xml:space="preserve">09</t>
  </si>
  <si>
    <t xml:space="preserve">10</t>
  </si>
  <si>
    <t xml:space="preserve">11</t>
  </si>
  <si>
    <t xml:space="preserve">12</t>
  </si>
  <si>
    <t xml:space="preserve">UPPDRAGSFORSKNING - FULL KOSTNADSTÄCKNINGSKALKYL</t>
  </si>
  <si>
    <r>
      <rPr>
        <b val="true"/>
        <sz val="11"/>
        <color rgb="FF000000"/>
        <rFont val="Arial"/>
        <family val="2"/>
        <charset val="1"/>
      </rPr>
      <t xml:space="preserve">Instruktioner
</t>
    </r>
    <r>
      <rPr>
        <sz val="9"/>
        <color rgb="FF000000"/>
        <rFont val="Arial"/>
        <family val="2"/>
        <charset val="1"/>
      </rPr>
      <t xml:space="preserve">
</t>
    </r>
    <r>
      <rPr>
        <b val="true"/>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</si>
  <si>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val="true"/>
        <sz val="11"/>
        <color rgb="FF000000"/>
        <rFont val="Arial"/>
        <family val="2"/>
        <charset val="1"/>
      </rPr>
      <t xml:space="preserve">Inledning för uppdrag
</t>
    </r>
    <r>
      <rPr>
        <sz val="9"/>
        <color rgb="FF000000"/>
        <rFont val="Arial"/>
        <family val="2"/>
        <charset val="1"/>
      </rPr>
      <t xml:space="preserve">
Denna mall ska enbart nyttjas internt för beräkning av pris för uppdrag inom forskning. Syftet med att uppdragsforskningsverksamheten ska nyttja denna modell är för att prissättningen ska leda till att full kostnadstäckning uppnås. Modellen är också godkänd av Ekonomistyrningsverket (ESV) via samråd som förnyas vartannat år. Samtliga uppdragskalkyler som överskrider 100 000 kr ska skrivas under av prefekt, eller av den till vilken prefekten delegerat beslutsrätten, samt av universitetsdirektören. I dessa fall ska även ett exemplar av kalkylen diarieföras och sparas.
Enligt § 3 Avgiftsförordning (1992:191) får Karolinska Institutet (KI) endast ta ut avgifter för varor och/eller tjänster som myndigheten tillhandahåller om det följer av lag eller förordning eller av ett särskilt beslut av regeringen. Enligt regleringsbrevet som är en årlig skrivelse och styrande dokument från riksdagen får KI bedriva uppdragsforskning. Det ekonomiska målet är bestämt i regleringsbrevet till full kostnadstäckning. 
Full kostnadstäckning innebär enkelt uttryckt att verksamheten varken får generera ett överskott eller underskott över tid. Detta innebär i praktiken att målet för varje enskilt uppdrags resultat bör vara +/-noll vid uppdragets slut eller då samtliga till uppdraget hänförliga kostnader har allokerats (exempelvis; avvecklingskostnader eller avskrivningar kan kostnadsföras även efter åtagandet har fullföljts). Det är även viktigt att denna verksamhet inte bedrivs med underskott, d.v.s. att KI inte skulle få täckning för samtliga kostnader av beställaren. Därav behöver man uppskatta de förväntade kostnaderna med god eftertanke. Detta får dock heller ej leda till att uppdragsforskningsverksamheten bedrivs med ett överskott som överstiger 10 procent av omsättningen mätt i innevarande års intäkter.</t>
    </r>
  </si>
  <si>
    <t xml:space="preserve">GRUNDLÄGGANDE UPPGIFTER</t>
  </si>
  <si>
    <r>
      <rPr>
        <b val="true"/>
        <sz val="9"/>
        <color rgb="FF000000"/>
        <rFont val="Arial"/>
        <family val="2"/>
        <charset val="1"/>
      </rPr>
      <t xml:space="preserve">Grundläggande uppgifter
</t>
    </r>
    <r>
      <rPr>
        <sz val="9"/>
        <color rgb="FF000000"/>
        <rFont val="Arial"/>
        <family val="2"/>
        <charset val="1"/>
      </rPr>
      <t xml:space="preserve">Här väljs institutionskod i rullistan som påverkar de indirekta kostnaderna (INDI) både i denna mall men även värden i specifikations- och uppföljningsflikar.
Innevarande år kommer upp automatiskt, men val av projektets start år påverkar Index av personal-, drift-, och lokalkostnader.
För uppdrag redogörs även om projektet är internt, statligt, externt eller övrigt uppdrag och där moms av annan anldening ska exkluderas.
Resten av fälten är fritextfält, men observera att framförallt projektnumret och även de andra fält hämtas upp av de övriga bladen.</t>
    </r>
  </si>
  <si>
    <t xml:space="preserve">Institutionskod</t>
  </si>
  <si>
    <t xml:space="preserve">Innevrande år</t>
  </si>
  <si>
    <t xml:space="preserve">Projektets start år/månad</t>
  </si>
  <si>
    <t xml:space="preserve">Projektets slut år/månad</t>
  </si>
  <si>
    <t xml:space="preserve">Externt</t>
  </si>
  <si>
    <t xml:space="preserve">Projektledare/-ansvarig</t>
  </si>
  <si>
    <t xml:space="preserve">Projektnummer - UBW</t>
  </si>
  <si>
    <t xml:space="preserve">Beskrivnig av projektet</t>
  </si>
  <si>
    <t xml:space="preserve">Personalkostnader</t>
  </si>
  <si>
    <t xml:space="preserve">Länk till stöd för beräkning av debiterbar månadsersättning</t>
  </si>
  <si>
    <t xml:space="preserve">A. Personalkostnader</t>
  </si>
  <si>
    <r>
      <rPr>
        <sz val="9"/>
        <color rgb="FF000000"/>
        <rFont val="Arial"/>
        <family val="2"/>
        <charset val="1"/>
      </rPr>
      <t xml:space="preserve">Beräkningen baserar sig på total månadsersättning och omfattning av heltid i projektet.
För </t>
    </r>
    <r>
      <rPr>
        <b val="true"/>
        <sz val="9"/>
        <color rgb="FF000000"/>
        <rFont val="Arial"/>
        <family val="2"/>
        <charset val="1"/>
      </rPr>
      <t xml:space="preserve">bidragsforksning</t>
    </r>
    <r>
      <rPr>
        <sz val="9"/>
        <color rgb="FF000000"/>
        <rFont val="Arial"/>
        <family val="2"/>
        <charset val="1"/>
      </rPr>
      <t xml:space="preserve"> nyttjas bruttolön och standardtiden anges automatiskt, vilket motsvarar 1680 timmar per år på KI.
För </t>
    </r>
    <r>
      <rPr>
        <b val="true"/>
        <sz val="9"/>
        <color rgb="FF000000"/>
        <rFont val="Arial"/>
        <family val="2"/>
        <charset val="1"/>
      </rPr>
      <t xml:space="preserve">externa uppdrag</t>
    </r>
    <r>
      <rPr>
        <sz val="9"/>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
</t>
    </r>
    <r>
      <rPr>
        <b val="true"/>
        <sz val="9"/>
        <color rgb="FF000000"/>
        <rFont val="Arial"/>
        <family val="2"/>
        <charset val="1"/>
      </rPr>
      <t xml:space="preserve">LKP
</t>
    </r>
    <r>
      <rPr>
        <sz val="9"/>
        <color rgb="FF000000"/>
        <rFont val="Arial"/>
        <family val="2"/>
        <charset val="1"/>
      </rPr>
      <t xml:space="preserve">LKP (Lönekostnadspålägg) är en kostnad som de flesta arbetsgivare har för den anställda utöver den individuella bruttolönen som den anställda har.
Detta är en standardsats som revideras centralt årligen.</t>
    </r>
  </si>
  <si>
    <t xml:space="preserve">Namn/Roll</t>
  </si>
  <si>
    <t xml:space="preserve">Arbetsmoment/Beskrivning</t>
  </si>
  <si>
    <t xml:space="preserve">Antal timmar</t>
  </si>
  <si>
    <t xml:space="preserve">Debiterbar månadsers. (kr)</t>
  </si>
  <si>
    <t xml:space="preserve">Omf. %</t>
  </si>
  <si>
    <t xml:space="preserve">inkl. index 2%</t>
  </si>
  <si>
    <t xml:space="preserve">Projektledare1</t>
  </si>
  <si>
    <t xml:space="preserve">Summa Personalkostnader exkl. lönekostnadspålägg (LKP)</t>
  </si>
  <si>
    <t xml:space="preserve">Sociala avgifter  (LKP) - 2021</t>
  </si>
  <si>
    <t xml:space="preserve">Semestertillägg</t>
  </si>
  <si>
    <t xml:space="preserve">LKP Total</t>
  </si>
  <si>
    <t xml:space="preserve">Summa personalkostnad där lönekostnadspålägg (LKP) ingår</t>
  </si>
  <si>
    <t xml:space="preserve">B. Driftkostnader</t>
  </si>
  <si>
    <t xml:space="preserve">B.1 Resekostnader</t>
  </si>
  <si>
    <t xml:space="preserve">Resekostnader - beskrivning</t>
  </si>
  <si>
    <t xml:space="preserve">Kostnad att fördela -&gt;</t>
  </si>
  <si>
    <t xml:space="preserve">Förbr. %</t>
  </si>
  <si>
    <t xml:space="preserve">inkl. index 1%</t>
  </si>
  <si>
    <t xml:space="preserve">Resa 1</t>
  </si>
  <si>
    <t xml:space="preserve">Resa 2</t>
  </si>
  <si>
    <t xml:space="preserve">Resa 3</t>
  </si>
  <si>
    <t xml:space="preserve">Summa resekostnader</t>
  </si>
  <si>
    <r>
      <rPr>
        <b val="true"/>
        <sz val="10"/>
        <rFont val="Arial"/>
        <family val="2"/>
        <charset val="1"/>
      </rPr>
      <t xml:space="preserve">B.1 Direkta driftkostnader </t>
    </r>
    <r>
      <rPr>
        <b val="true"/>
        <sz val="8"/>
        <color rgb="FF000000"/>
        <rFont val="Arial"/>
        <family val="2"/>
        <charset val="1"/>
      </rPr>
      <t xml:space="preserve">(Lokal- och KI-interna kostnader kommer under övriga drifkostnader)</t>
    </r>
  </si>
  <si>
    <r>
      <rPr>
        <b val="true"/>
        <sz val="9"/>
        <color rgb="FF000000"/>
        <rFont val="Arial"/>
        <family val="2"/>
        <charset val="1"/>
      </rPr>
      <t xml:space="preserve">Drifkostnader
</t>
    </r>
    <r>
      <rPr>
        <sz val="9"/>
        <color rgb="FF000000"/>
        <rFont val="Arial"/>
        <family val="2"/>
        <charset val="1"/>
      </rPr>
      <t xml:space="preserve">Hit förs alla typer av driftkostnader som är direkt förknippade med projektet. Detta kan innefatta för projektet nödvändig litteratur, kemikalier, laboratorieutrustning, konsultkostnader, resor (inkl. brutto av eventuella skattepliktiga traktamenten).
Beloppet anges som en total kostnad för projektet på respektive rad sedan anges förbrukning av resursen för respektive år som procent, 100% motsvarar alltså hela kostnaden för det året.</t>
    </r>
  </si>
  <si>
    <t xml:space="preserve">Driftkostnader - beskrivning</t>
  </si>
  <si>
    <t xml:space="preserve">inkl. index 1,0%</t>
  </si>
  <si>
    <t xml:space="preserve">Instrument</t>
  </si>
  <si>
    <t xml:space="preserve">Konsulttid</t>
  </si>
  <si>
    <t xml:space="preserve">Litteratur</t>
  </si>
  <si>
    <t xml:space="preserve">Djur</t>
  </si>
  <si>
    <t xml:space="preserve">Summa Direkta driftkostnader</t>
  </si>
  <si>
    <r>
      <rPr>
        <b val="true"/>
        <sz val="11"/>
        <color rgb="FF000000"/>
        <rFont val="Arial"/>
        <family val="2"/>
        <charset val="1"/>
      </rPr>
      <t xml:space="preserve">B.2 Övriga driftkostnader </t>
    </r>
    <r>
      <rPr>
        <b val="true"/>
        <sz val="9"/>
        <color rgb="FF000000"/>
        <rFont val="Arial"/>
        <family val="2"/>
        <charset val="1"/>
      </rPr>
      <t xml:space="preserve">(dessa exkluderas från INDI)</t>
    </r>
  </si>
  <si>
    <r>
      <rPr>
        <b val="true"/>
        <sz val="9"/>
        <color rgb="FF000000"/>
        <rFont val="Arial"/>
        <family val="2"/>
        <charset val="1"/>
      </rPr>
      <t xml:space="preserve">Övriga driftkostnader
</t>
    </r>
    <r>
      <rPr>
        <sz val="9"/>
        <color rgb="FF000000"/>
        <rFont val="Arial"/>
        <family val="2"/>
        <charset val="1"/>
      </rPr>
      <t xml:space="preserve">Avskrivningar, Lokalkostnader och interna kostnader genererar ingen INDI i den mån kalkylen inkluderar detta.
</t>
    </r>
    <r>
      <rPr>
        <b val="true"/>
        <sz val="9"/>
        <color rgb="FF000000"/>
        <rFont val="Arial"/>
        <family val="2"/>
        <charset val="1"/>
      </rPr>
      <t xml:space="preserve">Anläggningar
</t>
    </r>
    <r>
      <rPr>
        <sz val="9"/>
        <color rgb="FF000000"/>
        <rFont val="Arial"/>
        <family val="2"/>
        <charset val="1"/>
      </rPr>
      <t xml:space="preserve">Ange den kvarvarande ekonomiska livslängden och investeringskostnaden (nettofakturabelopp) eller restvärde vid befintliga anläggningar. 
Nyttjandegrad kan uppskattas eller beräknas genom att ta den totala tiden som anläggningen kommer nyttjas respektive år med den totala möjliga nyttjandetiden för anläggningen per år.
</t>
    </r>
    <r>
      <rPr>
        <b val="true"/>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val="true"/>
        <sz val="9"/>
        <color rgb="FF000000"/>
        <rFont val="Arial"/>
        <family val="2"/>
        <charset val="1"/>
      </rPr>
      <t xml:space="preserve">Interna kostnader
</t>
    </r>
    <r>
      <rPr>
        <sz val="9"/>
        <color rgb="FF000000"/>
        <rFont val="Arial"/>
        <family val="2"/>
        <charset val="1"/>
      </rPr>
      <t xml:space="preserve">Hit förs interna kostnader som uppstår av produkter eller tjänster som tillhandahålls från andra delar av KI, vilket ska inkludera motpartens indirekta kostnader (INDI)</t>
    </r>
  </si>
  <si>
    <t xml:space="preserve">Anläggning - beskrivning</t>
  </si>
  <si>
    <t xml:space="preserve">Eko. livslängd</t>
  </si>
  <si>
    <t xml:space="preserve">Investeringskostnad</t>
  </si>
  <si>
    <t xml:space="preserve">Nyttj. %</t>
  </si>
  <si>
    <t xml:space="preserve">inkl. index 0%</t>
  </si>
  <si>
    <t xml:space="preserve">anl 1</t>
  </si>
  <si>
    <t xml:space="preserve">Lokalkostnader - beskrivning</t>
  </si>
  <si>
    <t xml:space="preserve">Lokal yta kvm</t>
  </si>
  <si>
    <t xml:space="preserve">Kvm kostnad / år</t>
  </si>
  <si>
    <t xml:space="preserve">Kontor1</t>
  </si>
  <si>
    <t xml:space="preserve">Lab1</t>
  </si>
  <si>
    <t xml:space="preserve">Interna kostnader och eventuell INDI-befriad verksamhet - beskrivning</t>
  </si>
  <si>
    <t xml:space="preserve">Interntjänst1, inkl. motpartens INDI</t>
  </si>
  <si>
    <t xml:space="preserve">IT avgift 10 400 kr per anställd/anknuten och år (2021)</t>
  </si>
  <si>
    <t xml:space="preserve">Summa Övriga kostnader</t>
  </si>
  <si>
    <t xml:space="preserve">Summa Driftkostnader</t>
  </si>
  <si>
    <r>
      <rPr>
        <b val="true"/>
        <sz val="9"/>
        <color rgb="FF000000"/>
        <rFont val="Arial"/>
        <family val="2"/>
        <charset val="1"/>
      </rPr>
      <t xml:space="preserve">Gemensamma kostnader
</t>
    </r>
    <r>
      <rPr>
        <sz val="9"/>
        <color rgb="FF000000"/>
        <rFont val="Arial"/>
        <family val="2"/>
        <charset val="1"/>
      </rPr>
      <t xml:space="preserve">Indirekta kostnader (INDI)
Dessa innefattar oftast universitets- och fakultetsgemensamma kostnader samt institutionsgemensamma kostnader.
Här finns även möjlighet att göra ned- eller uppräkning av INDI (kan nyttjas vid flerårigt projekt).</t>
    </r>
  </si>
  <si>
    <t xml:space="preserve">C. Gemensamma kostnader</t>
  </si>
  <si>
    <t xml:space="preserve">Ned- / Uppräkning av INDI</t>
  </si>
  <si>
    <t xml:space="preserve">Summa Indirekta kostnader</t>
  </si>
  <si>
    <t xml:space="preserve">D. Riskpåslag</t>
  </si>
  <si>
    <r>
      <rPr>
        <b val="true"/>
        <sz val="9"/>
        <color rgb="FF000000"/>
        <rFont val="Arial"/>
        <family val="2"/>
        <charset val="1"/>
      </rPr>
      <t xml:space="preserve">Riskpåslag/Säkerhetsmarginal
</t>
    </r>
    <r>
      <rPr>
        <sz val="9"/>
        <color rgb="FF000000"/>
        <rFont val="Arial"/>
        <family val="2"/>
        <charset val="1"/>
      </rPr>
      <t xml:space="preserve">Riskpåslag kan nyttjas när det finns väsentliga osäkerheter kopplade till uppskattning av kostnaderna. Rekommenderat riskpåslag är 3% på uppdrag, dock ska hänsyn tas till historiks utveckling inom verksamheten.</t>
    </r>
  </si>
  <si>
    <t xml:space="preserve">Riskpåslag/Säkerhetsmarginal</t>
  </si>
  <si>
    <t xml:space="preserve">SUMMA PROJEKTKOSTNADER</t>
  </si>
  <si>
    <t xml:space="preserve">KOSTNADSSPECIFIKATION</t>
  </si>
  <si>
    <r>
      <rPr>
        <b val="true"/>
        <sz val="9"/>
        <rFont val="Arial"/>
        <family val="2"/>
        <charset val="1"/>
      </rPr>
      <t xml:space="preserve">
Kostnadsspecifikation
</t>
    </r>
    <r>
      <rPr>
        <sz val="9"/>
        <rFont val="Arial"/>
        <family val="2"/>
        <charset val="1"/>
      </rPr>
      <t xml:space="preserve">Här redogörs de totala förväntade kostnaderna för projektet och som är underlag för prissättning.
Summa exklusive moms debiteras internt och från statliga myndigheter samt utlandet i de flesta fall, och summa inklusive moms debiteras övriga organisationer och företag. Välj externt uppdrag i grundläggande uppgifter vid behov av moms och internt, statligt eller övrigt utan moms då moms inte ska debiteras.
</t>
    </r>
    <r>
      <rPr>
        <b val="true"/>
        <sz val="9"/>
        <rFont val="Arial"/>
        <family val="2"/>
        <charset val="1"/>
      </rPr>
      <t xml:space="preserve">Underskrifter
</t>
    </r>
    <r>
      <rPr>
        <sz val="9"/>
        <rFont val="Arial"/>
        <family val="2"/>
        <charset val="1"/>
      </rPr>
      <t xml:space="preserve">Om </t>
    </r>
    <r>
      <rPr>
        <u val="single"/>
        <sz val="9"/>
        <rFont val="Arial"/>
        <family val="2"/>
        <charset val="1"/>
      </rPr>
      <t xml:space="preserve">nettoomsättnming överskrider 100 000 kr</t>
    </r>
    <r>
      <rPr>
        <sz val="9"/>
        <rFont val="Arial"/>
        <family val="2"/>
        <charset val="1"/>
      </rPr>
      <t xml:space="preserve"> är godkännande från Universitetsdirektören obligatorisk för uppdrag.</t>
    </r>
  </si>
  <si>
    <t xml:space="preserve">Timkostnad (personalkostnad inklusive indirekta kostnader)</t>
  </si>
  <si>
    <t xml:space="preserve">Driftkostnad</t>
  </si>
  <si>
    <t xml:space="preserve">SUMMA KOSTNADER (EXKL MOMS)</t>
  </si>
  <si>
    <t xml:space="preserve">Kontrollerad av inst.-ekonom / motsvarande</t>
  </si>
  <si>
    <t xml:space="preserve">Prefekt / med motsvarande beslutsrätt</t>
  </si>
  <si>
    <t xml:space="preserve">Universitetsdirektör</t>
  </si>
  <si>
    <t xml:space="preserve">Signatur</t>
  </si>
  <si>
    <t xml:space="preserve">Namnförtydligande</t>
  </si>
  <si>
    <r>
      <rPr>
        <b val="true"/>
        <sz val="8"/>
        <color rgb="FF000000"/>
        <rFont val="Arial"/>
        <family val="2"/>
        <charset val="1"/>
      </rPr>
      <t xml:space="preserve">
Beräkning av debiterbar månadsersättning och tid (exkl. LKP)
</t>
    </r>
    <r>
      <rPr>
        <sz val="8"/>
        <color rgb="FF000000"/>
        <rFont val="Arial"/>
        <family val="2"/>
        <charset val="1"/>
      </rPr>
      <t xml:space="preserve">
I den mån det är ett externt uppdrag ska avärkning göras för indirekt tid eller produktionsbortfall såsom egen- administration, utbildning och utvecklingsarbete ske.
Det som är individuellt och kan ändras i kalkylen är:
- månadslön (här anger individens bruttomånadslön exkl. LKP) 
- antalet semesterdagar som individen har (ex. 7 veckor är 35 dagar)
- övrig betald ledighet i dagar (ex. avtalad friskvårdstimmar eller liknande)
I den mån projektet är ett externt uppdrag ska även hänsyn tas till övrig ineffektiv betald arbetstid (produktionsbortfall) som kan vara:
- egen administration som inte är förknippad med något projekt
- egen utveckling, så som utbildningar och annat
- generella resor och arrangemang som är personalhälsofrämjande
</t>
    </r>
  </si>
  <si>
    <t xml:space="preserve">BERÄKNING AV DEBITERBAR  MÅNADSERSÄTTNING OCH TID (Exkl. LKP)</t>
  </si>
  <si>
    <t xml:space="preserve">Ange månadslön (hela kronor):</t>
  </si>
  <si>
    <t xml:space="preserve">Arbetstid på årsbas</t>
  </si>
  <si>
    <t xml:space="preserve">Dagar</t>
  </si>
  <si>
    <t xml:space="preserve">Timmar totalt</t>
  </si>
  <si>
    <t xml:space="preserve">52 veckor x 40 tim (heltid)</t>
  </si>
  <si>
    <t xml:space="preserve">- 2 veckor helgdagar avgår</t>
  </si>
  <si>
    <t xml:space="preserve">Betald tid</t>
  </si>
  <si>
    <t xml:space="preserve">- betalda semesterdagar</t>
  </si>
  <si>
    <t xml:space="preserve">- övrig betald frånvaro</t>
  </si>
  <si>
    <t xml:space="preserve">STANDARDTID</t>
  </si>
  <si>
    <t xml:space="preserve">- egen administration</t>
  </si>
  <si>
    <t xml:space="preserve">- egen utveckling etc</t>
  </si>
  <si>
    <t xml:space="preserve">- resor, sammankomster</t>
  </si>
  <si>
    <t xml:space="preserve">Summa indirekt tid</t>
  </si>
  <si>
    <t xml:space="preserve">DEBITERBAR TID (DIREKT TID)</t>
  </si>
  <si>
    <t xml:space="preserve">kr per månad</t>
  </si>
  <si>
    <t xml:space="preserve">kr/tim</t>
  </si>
  <si>
    <t xml:space="preserve">UPPDRAGSFORSKNING - STÖD FÖR BUDGET TILL UBW</t>
  </si>
  <si>
    <r>
      <rPr>
        <b val="true"/>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 modell som kan enkelt föras in i UBWs Saldo tabell för uppföljningsändamål. Posterna hämtas till olika konton beroende på vad som fyllts i under respektive rubrik i kalkylen. 
Det är möjligt att välja antingen att föra in totala förväntad utfall på första året, det under första rubriken nedan, eller en årsfördelad from första året och framåt som finns under rubriken årsfördelad budget.
OBS! Kopiera endast gråa fält och klistra in direkt i UBW (Ctrl + C &amp; Ctrl + V). Se gärna UBW handbok på medarbetarportalen för ytterligare instruktioner om hur funktionen nyttjas.</t>
    </r>
  </si>
  <si>
    <t xml:space="preserve">TOTAL BUDGET</t>
  </si>
  <si>
    <t xml:space="preserve">RR2</t>
  </si>
  <si>
    <t xml:space="preserve">Beskrivning</t>
  </si>
  <si>
    <t xml:space="preserve">Konto</t>
  </si>
  <si>
    <t xml:space="preserve">Inst</t>
  </si>
  <si>
    <t xml:space="preserve">Proj</t>
  </si>
  <si>
    <t xml:space="preserve">Per från</t>
  </si>
  <si>
    <t xml:space="preserve">Per till</t>
  </si>
  <si>
    <t xml:space="preserve">Budget (BB)</t>
  </si>
  <si>
    <t xml:space="preserve">Text</t>
  </si>
  <si>
    <t xml:space="preserve">Intäkter avgifter</t>
  </si>
  <si>
    <t xml:space="preserve">Gemensamma kostnader (INDI)</t>
  </si>
  <si>
    <t xml:space="preserve">Lokalkostnader</t>
  </si>
  <si>
    <t xml:space="preserve">Resekostnader</t>
  </si>
  <si>
    <t xml:space="preserve">Övriga driftskostnader</t>
  </si>
  <si>
    <t xml:space="preserve">Interna kostnader</t>
  </si>
  <si>
    <t xml:space="preserve">Avskrivningar</t>
  </si>
  <si>
    <t xml:space="preserve">ÅRSFÖRDELAD BUDGET</t>
  </si>
  <si>
    <t xml:space="preserve">Intäkter av avgifter</t>
  </si>
  <si>
    <t xml:space="preserve">BIDRAGSFORSKNING - FULL KOSTNADSTÄCKNINGSKALKYL</t>
  </si>
  <si>
    <r>
      <rPr>
        <b val="true"/>
        <sz val="11"/>
        <color rgb="FF000000"/>
        <rFont val="Arial"/>
        <family val="2"/>
        <charset val="1"/>
      </rPr>
      <t xml:space="preserve">Instruktioner
</t>
    </r>
    <r>
      <rPr>
        <b val="true"/>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</si>
  <si>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val="true"/>
        <strike val="true"/>
        <sz val="11"/>
        <color rgb="FF000000"/>
        <rFont val="Arial"/>
        <family val="2"/>
        <charset val="1"/>
      </rPr>
      <t xml:space="preserve">Inledning för bidrag
</t>
    </r>
    <r>
      <rPr>
        <strike val="true"/>
        <sz val="9"/>
        <color rgb="FF000000"/>
        <rFont val="Arial"/>
        <family val="2"/>
        <charset val="1"/>
      </rPr>
      <t xml:space="preserve">
Med bidrag menas medel som tas emot utan krav på motprestation i form av till exempel varor, tjänster eller särskilda förmåner. Finansiären kan dock villkora vad bidraget får användas till och dessutom ställa krav på återrapportering av hur medlen nyttjats.
Denna mall är ämnad för att stötta beräkning av ett forskningsprojekts kostnader samt finansiering och därmed även det eventuella samfinansieringsbehovet som kan uppstå. Med samfinansieringsbehov i detta sammanhang menas den del av kostnader som uppstår i projektet som inte har beviljats täckning från huvudfinansiärerna.
Till skillnad från uppdragsforskningskalkylmallen kan denna mall med fördel även användas som underlag att bifoga en ansökan där bidragsgivaren så kräver. Detta kan ske då de inte själva tillhandahåller någon specifik mall. Mallen i sig kan skrivas ut i komprimerad form genom grupperingsfunktionen till vänster i bladet.
Mallen ska alltid skrivas under av prefekt, eller av den till vilken prefekten delegerat beslutsrätten, när det ansökta bidraget överstiger 100 000 kr. I dessa fall ska ett exemplar av ansökan och kalkylen diarieföras och sparas. Vid beviljade ansökningar ska kalkylen bifogas i Avtalsreskontran i KIs affärssystem.</t>
    </r>
  </si>
  <si>
    <t xml:space="preserve">K9 - PHS</t>
  </si>
  <si>
    <t xml:space="preserve">Current year</t>
  </si>
  <si>
    <t xml:space="preserve">Project start year/month</t>
  </si>
  <si>
    <t xml:space="preserve">Project end year/month</t>
  </si>
  <si>
    <t xml:space="preserve">Project leader</t>
  </si>
  <si>
    <t xml:space="preserve">Namn</t>
  </si>
  <si>
    <t xml:space="preserve">Project title</t>
  </si>
  <si>
    <t xml:space="preserve">A. Personal costs</t>
  </si>
  <si>
    <t xml:space="preserve">A.1 Participating personal, with SALARY from KI</t>
  </si>
  <si>
    <t xml:space="preserve">A.1.1 - Project leader</t>
  </si>
  <si>
    <t xml:space="preserve">Name/Role</t>
  </si>
  <si>
    <t xml:space="preserve">Workpackage/Description</t>
  </si>
  <si>
    <t xml:space="preserve">Total hours</t>
  </si>
  <si>
    <t xml:space="preserve">Monthly salary (kr)</t>
  </si>
  <si>
    <t xml:space="preserve">PI</t>
  </si>
  <si>
    <r>
      <rPr>
        <sz val="8"/>
        <color rgb="FF000000"/>
        <rFont val="Arial"/>
        <family val="2"/>
        <charset val="1"/>
      </rPr>
      <t xml:space="preserve">Beräkningen baserar sig på total månadsersättning och omfattning av heltid i projektet.
För </t>
    </r>
    <r>
      <rPr>
        <b val="true"/>
        <sz val="8"/>
        <color rgb="FF000000"/>
        <rFont val="Arial"/>
        <family val="2"/>
        <charset val="1"/>
      </rPr>
      <t xml:space="preserve">bidragsforksning</t>
    </r>
    <r>
      <rPr>
        <sz val="8"/>
        <color rgb="FF000000"/>
        <rFont val="Arial"/>
        <family val="2"/>
        <charset val="1"/>
      </rPr>
      <t xml:space="preserve"> nyttjas bruttolön och standardtiden anges automatiskt, vilket motsvarar 1680 timmar per år på KI.
För </t>
    </r>
    <r>
      <rPr>
        <b val="true"/>
        <sz val="8"/>
        <color rgb="FF000000"/>
        <rFont val="Arial"/>
        <family val="2"/>
        <charset val="1"/>
      </rPr>
      <t xml:space="preserve">externa uppdrag</t>
    </r>
    <r>
      <rPr>
        <sz val="8"/>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t>
    </r>
  </si>
  <si>
    <t xml:space="preserve">A.1.2 - Doctoral students</t>
  </si>
  <si>
    <t xml:space="preserve">Doktorand1</t>
  </si>
  <si>
    <t xml:space="preserve">A.1.3 - Additional researchers</t>
  </si>
  <si>
    <t xml:space="preserve">Research assistent</t>
  </si>
  <si>
    <t xml:space="preserve">A.1.4 - TA-personal (administrative personal)</t>
  </si>
  <si>
    <t xml:space="preserve">Administratör1</t>
  </si>
  <si>
    <t xml:space="preserve">Summa Personal costs exkl LKP</t>
  </si>
  <si>
    <t xml:space="preserve">Social fees  (LKP) - 2022</t>
  </si>
  <si>
    <r>
      <rPr>
        <b val="true"/>
        <sz val="8"/>
        <color rgb="FF000000"/>
        <rFont val="Arial"/>
        <family val="2"/>
        <charset val="1"/>
      </rPr>
      <t xml:space="preserve">LKP
</t>
    </r>
    <r>
      <rPr>
        <sz val="8"/>
        <color rgb="FF000000"/>
        <rFont val="Arial"/>
        <family val="2"/>
        <charset val="1"/>
      </rPr>
      <t xml:space="preserve">LKP (Lönekostnadspålägg) är en kostnad som de flesta arbetsgivare har för den anställda utöver den individuella bruttolönen som den anställda har.
Detta är en standardsats som revideras centralt årligen.</t>
    </r>
  </si>
  <si>
    <t xml:space="preserve">Vacation add-on</t>
  </si>
  <si>
    <t xml:space="preserve">Sum of personal costs including LKP</t>
  </si>
  <si>
    <r>
      <rPr>
        <b val="true"/>
        <sz val="10"/>
        <rFont val="Arial"/>
        <family val="2"/>
        <charset val="1"/>
      </rPr>
      <t xml:space="preserve">A.2 Övriga medverkande som har annan ersättning än lön </t>
    </r>
    <r>
      <rPr>
        <b val="true"/>
        <sz val="8"/>
        <rFont val="Arial"/>
        <family val="2"/>
        <charset val="1"/>
      </rPr>
      <t xml:space="preserve">(dessa exkluderas från LKP)</t>
    </r>
  </si>
  <si>
    <t xml:space="preserve">A.2.1 - Övriga medverkande </t>
  </si>
  <si>
    <r>
      <rPr>
        <b val="true"/>
        <sz val="8"/>
        <color rgb="FF000000"/>
        <rFont val="Arial"/>
        <family val="2"/>
        <charset val="1"/>
      </rPr>
      <t xml:space="preserve">Övriga medverkande (exkl. LKP)
</t>
    </r>
    <r>
      <rPr>
        <sz val="8"/>
        <color rgb="FF000000"/>
        <rFont val="Arial"/>
        <family val="2"/>
        <charset val="1"/>
      </rPr>
      <t xml:space="preserve">Detta är främst för stipendiater, men kan även användas för medverkande där LKP inte ska ingå av andra eventuella skäl.</t>
    </r>
  </si>
  <si>
    <t xml:space="preserve">Månadsers. (kr)</t>
  </si>
  <si>
    <t xml:space="preserve">Stipendiat 1</t>
  </si>
  <si>
    <t xml:space="preserve">Summa kostnader för övriga medverkande</t>
  </si>
  <si>
    <t xml:space="preserve">Summa samtliga personalkostnader</t>
  </si>
  <si>
    <t xml:space="preserve">B. Operating costs</t>
  </si>
  <si>
    <t xml:space="preserve">B.1 Travel costs</t>
  </si>
  <si>
    <t xml:space="preserve">Travel costs - description</t>
  </si>
  <si>
    <t xml:space="preserve">Cons. %</t>
  </si>
  <si>
    <t xml:space="preserve">Hit förs alla typer av resekostnader som är förknippade med projektet (inkl. brutto av eventuella skattepliktiga traktamenten).</t>
  </si>
  <si>
    <t xml:space="preserve">Sum travel costs</t>
  </si>
  <si>
    <r>
      <rPr>
        <b val="true"/>
        <sz val="10"/>
        <rFont val="Arial"/>
        <family val="2"/>
        <charset val="1"/>
      </rPr>
      <t xml:space="preserve">B.2 Operating costs </t>
    </r>
    <r>
      <rPr>
        <b val="true"/>
        <sz val="9"/>
        <color rgb="FF000000"/>
        <rFont val="Arial"/>
        <family val="2"/>
        <charset val="1"/>
      </rPr>
      <t xml:space="preserve">(Room- and KI-internal costs are not included here)</t>
    </r>
  </si>
  <si>
    <r>
      <rPr>
        <b val="true"/>
        <sz val="8"/>
        <color rgb="FF000000"/>
        <rFont val="Arial"/>
        <family val="2"/>
        <charset val="1"/>
      </rPr>
      <t xml:space="preserve">Drifkostnader
</t>
    </r>
    <r>
      <rPr>
        <sz val="8"/>
        <color rgb="FF000000"/>
        <rFont val="Arial"/>
        <family val="2"/>
        <charset val="1"/>
      </rPr>
      <t xml:space="preserve">Hit förs alla typer av driftkostnader (exklusive resekostnader) som är direkt förknippade med projektet. Detta kan innefatta för projektet nödvändig litteratur, kemikalier, laboratorieutrustning, konsultkostnader.
Beloppet anges som en total kostnad för projektet på respektive rad sedan anges förbrukning av resursen (kostnden) för respektive år som procent. 100% innebär alltså att hela kostnaden tas på det året.</t>
    </r>
  </si>
  <si>
    <t xml:space="preserve">Operating costs - description</t>
  </si>
  <si>
    <t xml:space="preserve">TGI trial costs</t>
  </si>
  <si>
    <t xml:space="preserve">Consultanthours</t>
  </si>
  <si>
    <t xml:space="preserve">Literature</t>
  </si>
  <si>
    <t xml:space="preserve">Licenses etc</t>
  </si>
  <si>
    <t xml:space="preserve">Sum direct operating costs </t>
  </si>
  <si>
    <r>
      <rPr>
        <b val="true"/>
        <sz val="8"/>
        <color rgb="FF000000"/>
        <rFont val="Arial"/>
        <family val="2"/>
        <charset val="1"/>
      </rPr>
      <t xml:space="preserve">Övriga driftkostnader
</t>
    </r>
    <r>
      <rPr>
        <sz val="8"/>
        <color rgb="FF000000"/>
        <rFont val="Arial"/>
        <family val="2"/>
        <charset val="1"/>
      </rPr>
      <t xml:space="preserve">Avskrivningar, Lokalkostnader och interna kostnader genererar ingen INDI i den mån kalkylen inkluderar detta.</t>
    </r>
  </si>
  <si>
    <t xml:space="preserve">B.3 Operating costs (Internal)</t>
  </si>
  <si>
    <t xml:space="preserve">Equipment  - description</t>
  </si>
  <si>
    <t xml:space="preserve">Duration</t>
  </si>
  <si>
    <t xml:space="preserve">Investment cost</t>
  </si>
  <si>
    <r>
      <rPr>
        <b val="true"/>
        <sz val="9"/>
        <color rgb="FF000000"/>
        <rFont val="Arial"/>
        <family val="2"/>
        <charset val="1"/>
      </rPr>
      <t xml:space="preserve">
Anläggningar
</t>
    </r>
    <r>
      <rPr>
        <sz val="9"/>
        <color rgb="FF000000"/>
        <rFont val="Arial"/>
        <family val="2"/>
        <charset val="1"/>
      </rPr>
      <t xml:space="preserve">Ange den kvarvarande ekonomiska livslängden och investeringskostnaden (nettofakturabelopp) eller totala restvärdet vid befintliga anläggningar. 
Nyttjandegrad kan uppskattas eller beräknas genom att ta den totala tiden som anläggningen kommer nyttjas respektive år med den totala möjliga nyttjandetiden för anläggningen per år.
</t>
    </r>
    <r>
      <rPr>
        <b val="true"/>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val="true"/>
        <sz val="9"/>
        <color rgb="FF000000"/>
        <rFont val="Arial"/>
        <family val="2"/>
        <charset val="1"/>
      </rPr>
      <t xml:space="preserve">Interna kostnader
</t>
    </r>
    <r>
      <rPr>
        <sz val="9"/>
        <color rgb="FF000000"/>
        <rFont val="Arial"/>
        <family val="2"/>
        <charset val="1"/>
      </rPr>
      <t xml:space="preserve">Hit förs interna kostnader som uppstår av produkter eller tjänster som tillhandahålls från andra delar av KI, vilket ska inkludera motpartens indirekta kostnader (INDI)</t>
    </r>
  </si>
  <si>
    <t xml:space="preserve">Anl 1</t>
  </si>
  <si>
    <t xml:space="preserve">5 år</t>
  </si>
  <si>
    <t xml:space="preserve">Room costs - description</t>
  </si>
  <si>
    <t xml:space="preserve">kvm</t>
  </si>
  <si>
    <t xml:space="preserve">Kvm kostnad / year</t>
  </si>
  <si>
    <t xml:space="preserve">Office room 1</t>
  </si>
  <si>
    <t xml:space="preserve">Internal costs - description</t>
  </si>
  <si>
    <t xml:space="preserve">IT fee 10 400 kr per employee/affiliated and year (2022)</t>
  </si>
  <si>
    <t xml:space="preserve">Sum internal operating costs</t>
  </si>
  <si>
    <t xml:space="preserve">Summa Operating costs</t>
  </si>
  <si>
    <r>
      <rPr>
        <b val="true"/>
        <sz val="8"/>
        <color rgb="FF000000"/>
        <rFont val="Arial"/>
        <family val="2"/>
        <charset val="1"/>
      </rPr>
      <t xml:space="preserve">Gemensamma kostnader
</t>
    </r>
    <r>
      <rPr>
        <sz val="8"/>
        <color rgb="FF000000"/>
        <rFont val="Arial"/>
        <family val="2"/>
        <charset val="1"/>
      </rPr>
      <t xml:space="preserve">Indirekta kostnader (INDI)
Dessa innefattar oftast universitets- och fakultetsgemensamma kostnader samt institutionsgemensamma kostnader.
Här finns även möjlighet att göra ned- eller uppräkning av INDI (kan nyttjas vid flerårigt projekt).</t>
    </r>
  </si>
  <si>
    <t xml:space="preserve">C. INDI</t>
  </si>
  <si>
    <t xml:space="preserve">INDI Total</t>
  </si>
  <si>
    <t xml:space="preserve">Sum INDI cost</t>
  </si>
  <si>
    <t xml:space="preserve">SUM PROJECT COST</t>
  </si>
  <si>
    <t xml:space="preserve">FINANSIERING (INTÄKTER)</t>
  </si>
  <si>
    <r>
      <rPr>
        <b val="true"/>
        <sz val="8"/>
        <rFont val="Arial"/>
        <family val="2"/>
        <charset val="1"/>
      </rPr>
      <t xml:space="preserve">Finansiering
</t>
    </r>
    <r>
      <rPr>
        <sz val="8"/>
        <rFont val="Arial"/>
        <family val="2"/>
        <charset val="1"/>
      </rPr>
      <t xml:space="preserve">Här redogörs för finansiering av de förväntade kostnader
</t>
    </r>
    <r>
      <rPr>
        <b val="true"/>
        <sz val="8"/>
        <rFont val="Arial"/>
        <family val="2"/>
        <charset val="1"/>
      </rPr>
      <t xml:space="preserve">Huvudfinansiär
</t>
    </r>
    <r>
      <rPr>
        <sz val="8"/>
        <rFont val="Arial"/>
        <family val="2"/>
        <charset val="1"/>
      </rPr>
      <t xml:space="preserve">Här redogörs för den förväntade huvudfinansieringen av projektets kostnader. Detta är oftast en finansiär men kan givetvis innefatta flera finansieringskällor.
Huvudfinansiärerna är till majoritet KI-externa organisationer och föreningar.
I fritexfält kan vid behov formler nyttjas för beräkning då finansiering baserar sig på regler kopplade till andra kostnadsposter, exempelvis INDI.</t>
    </r>
  </si>
  <si>
    <t xml:space="preserve">A. Huvudfinansiär</t>
  </si>
  <si>
    <t xml:space="preserve">Beviljad finansiering</t>
  </si>
  <si>
    <t xml:space="preserve">Frivillig rubrik</t>
  </si>
  <si>
    <t xml:space="preserve">Finansiär1</t>
  </si>
  <si>
    <t xml:space="preserve">Finansiär2</t>
  </si>
  <si>
    <t xml:space="preserve">Summa finansiering</t>
  </si>
  <si>
    <t xml:space="preserve">B. Samfinansiering</t>
  </si>
  <si>
    <t xml:space="preserve">Samfinansiering / kapital från projekt</t>
  </si>
  <si>
    <r>
      <rPr>
        <b val="true"/>
        <sz val="8"/>
        <rFont val="Arial"/>
        <family val="2"/>
        <charset val="1"/>
      </rPr>
      <t xml:space="preserve">Samfinansiering
</t>
    </r>
    <r>
      <rPr>
        <sz val="8"/>
        <rFont val="Arial"/>
        <family val="2"/>
        <charset val="1"/>
      </rPr>
      <t xml:space="preserve">Innan något har förts in här visar totalen eller uträkningen längst ner samfinansieringsbehovet som finns. Dvs totalen av de kostnader som inte täcks av huvudfinansiären / -finansiärerna.
Efter behovet av samfinansiering visats kan här redogöras för varifrån och i hur stor omfattning samfinansieringen som kommer, allt eftersom samfinansiering förs in reduseras samfinansieringsbehovet totalt i filen.</t>
    </r>
  </si>
  <si>
    <t xml:space="preserve">Projekt1</t>
  </si>
  <si>
    <t xml:space="preserve">Projekt2</t>
  </si>
  <si>
    <t xml:space="preserve">Samfinansieringsbehov (finansiering - kostnader + samfinansiering)</t>
  </si>
  <si>
    <t xml:space="preserve">Huvudansökanden</t>
  </si>
  <si>
    <r>
      <rPr>
        <b val="true"/>
        <sz val="8"/>
        <rFont val="Arial"/>
        <family val="2"/>
        <charset val="1"/>
      </rPr>
      <t xml:space="preserve">Underskrifter
</t>
    </r>
    <r>
      <rPr>
        <sz val="8"/>
        <rFont val="Arial"/>
        <family val="2"/>
        <charset val="1"/>
      </rPr>
      <t xml:space="preserve">Mallen ska alltid skrivas under av prefekt, eller av den till vilken prefekten delegerat beslutsrätten, när det </t>
    </r>
    <r>
      <rPr>
        <u val="single"/>
        <sz val="8"/>
        <rFont val="Arial"/>
        <family val="2"/>
        <charset val="1"/>
      </rPr>
      <t xml:space="preserve">ansökta bidraget överstiger 100 000 kr</t>
    </r>
    <r>
      <rPr>
        <sz val="8"/>
        <rFont val="Arial"/>
        <family val="2"/>
        <charset val="1"/>
      </rPr>
      <t xml:space="preserve">.</t>
    </r>
  </si>
  <si>
    <t xml:space="preserve">Project budget PRISMA</t>
  </si>
  <si>
    <t xml:space="preserve">Specifically for budget applications to Forte, VR and Formas. </t>
  </si>
  <si>
    <t xml:space="preserve">Begin with filling in tab #1 "Research Grant" - and this tab will collect all your stated information. </t>
  </si>
  <si>
    <t xml:space="preserve">Cost and total applied amount </t>
  </si>
  <si>
    <t xml:space="preserve">Activity in project</t>
  </si>
  <si>
    <t xml:space="preserve">% av heltid </t>
  </si>
  <si>
    <t xml:space="preserve">Aktuella procentsatser</t>
  </si>
  <si>
    <t xml:space="preserve">LKP</t>
  </si>
  <si>
    <t xml:space="preserve">INDI</t>
  </si>
  <si>
    <t xml:space="preserve">Total sum</t>
  </si>
  <si>
    <t xml:space="preserve">B.1-2  - Operating costs</t>
  </si>
  <si>
    <t xml:space="preserve">Total sum including INDI</t>
  </si>
  <si>
    <t xml:space="preserve">Total applied grant</t>
  </si>
  <si>
    <t xml:space="preserve">Specified costs</t>
  </si>
  <si>
    <t xml:space="preserve">Totalt sökt</t>
  </si>
  <si>
    <t xml:space="preserve">Salary including LKP </t>
  </si>
  <si>
    <t xml:space="preserve">External operating costs</t>
  </si>
  <si>
    <t xml:space="preserve">Internal  operating costs</t>
  </si>
  <si>
    <t xml:space="preserve">Subtotal</t>
  </si>
  <si>
    <t xml:space="preserve">Total project cost</t>
  </si>
  <si>
    <t xml:space="preserve">BIDRAGSFORKSNING - BILAGA TILL FULL KOSTNADSTÄCKNINGSKALKYL</t>
  </si>
  <si>
    <r>
      <rPr>
        <b val="true"/>
        <sz val="11"/>
        <color rgb="FF000000"/>
        <rFont val="Arial"/>
        <family val="2"/>
        <charset val="1"/>
      </rPr>
      <t xml:space="preserve">Inledning
</t>
    </r>
    <r>
      <rPr>
        <sz val="8"/>
        <color rgb="FF000000"/>
        <rFont val="Arial"/>
        <family val="2"/>
        <charset val="1"/>
      </rPr>
      <t xml:space="preserve">
Denna flik preciserar de gemensamma / indirekta kostnaderna (INDI) för myndigheten Karolinska Institutet, men även för utförande institution samt för det specifika projektet. Fördelningen görs på följande nivåer: Ledning, Utbildning-forskning, Ekonomi-personal, Infrastruktur-service, Bibliotek, Nivåspecifikt övrigt.
Siffrorna i mallen hämtas automatiskt om uppgifterna i bidragsforksningsfliken är korrekt ifyllda.</t>
    </r>
  </si>
  <si>
    <t xml:space="preserve">Institutions kod</t>
  </si>
  <si>
    <t xml:space="preserve">C123</t>
  </si>
  <si>
    <t xml:space="preserve">Fördelningsbas kostnadsunderlag i tkr:</t>
  </si>
  <si>
    <t xml:space="preserve">INDIREKTA KOSTNADER KAROLINSKA INSTITUTET I TUSENTALS KR (KSEK)</t>
  </si>
  <si>
    <t xml:space="preserve">Universitetsgem
kostnader - totalt</t>
  </si>
  <si>
    <t xml:space="preserve">Institutionsgem
kostnader - totalt</t>
  </si>
  <si>
    <t xml:space="preserve">Ledning</t>
  </si>
  <si>
    <t xml:space="preserve">Utbildning-forskning</t>
  </si>
  <si>
    <t xml:space="preserve">Ekonomi-personal</t>
  </si>
  <si>
    <t xml:space="preserve">Infrastruktur-service</t>
  </si>
  <si>
    <t xml:space="preserve">Bibliotek</t>
  </si>
  <si>
    <t xml:space="preserve">Nivåspecifikt mm</t>
  </si>
  <si>
    <t xml:space="preserve">Summa</t>
  </si>
  <si>
    <t xml:space="preserve">Inst andel av
Universitetsgem</t>
  </si>
  <si>
    <t xml:space="preserve">Inst andel av
Institutionsgem</t>
  </si>
  <si>
    <t xml:space="preserve">Totalt indirekta kostnader för Inst</t>
  </si>
  <si>
    <t xml:space="preserve">% andel av total INDI för Inst</t>
  </si>
  <si>
    <t xml:space="preserve">Andel av total fördelningsbas</t>
  </si>
  <si>
    <t xml:space="preserve">(Löner och drift; exklusive avskr, lokal och interna -kostnader)</t>
  </si>
  <si>
    <t xml:space="preserve">INDIREKTA KOSTNADER FÖR SPECIFIKT PROJEKT I HELA KR (SEK)</t>
  </si>
  <si>
    <t xml:space="preserve">Proj. andel av Universitetsgem</t>
  </si>
  <si>
    <t xml:space="preserve">Proj. andel av Institutionsgem</t>
  </si>
  <si>
    <t xml:space="preserve">Proj. total indirekta kost </t>
  </si>
  <si>
    <t xml:space="preserve">BIDRAGSFORSKNING - STÖD FÖR BUDGET TILL UBW</t>
  </si>
  <si>
    <r>
      <rPr>
        <b val="true"/>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budgetmodell som enkelt kan föras in i Planner i UBW med hjälp av inläsningsmall. Posterna till olika konton hämtas beroende på vad som fyllts i under respektive rubrik i kalkylen. 
Nedan finns två alternativ som kan nyttjas för uppföljning i UBW. Det första som återfinns under rubiken TOTAL BUDGET summerar samtliga intäkter och kostnader för projektet, och det andra som återfinns under rubriken ÅRSFÖRDELAD BUDGET fördelarar intäkter och kostnader på respektive år.
</t>
    </r>
  </si>
  <si>
    <t xml:space="preserve">Intäkter av bidrag</t>
  </si>
  <si>
    <t xml:space="preserve">Interna kostnader </t>
  </si>
  <si>
    <t xml:space="preserve">Forskning/Forskarutbildning 2021</t>
  </si>
  <si>
    <t xml:space="preserve">Obs kostnadsunderlag är hämtad från INDI budgeten</t>
  </si>
  <si>
    <t xml:space="preserve">Institution</t>
  </si>
  <si>
    <t xml:space="preserve">Fakultet</t>
  </si>
  <si>
    <t xml:space="preserve">Universitet</t>
  </si>
  <si>
    <t xml:space="preserve">Kostnadsunderlag (summa kostnadsunderlag FO)</t>
  </si>
  <si>
    <t xml:space="preserve">Universitetsgemensam</t>
  </si>
  <si>
    <t xml:space="preserve">Univgem andel av total</t>
  </si>
  <si>
    <t xml:space="preserve">Fakultetsgemensam</t>
  </si>
  <si>
    <t xml:space="preserve">Fackgem andel av total</t>
  </si>
  <si>
    <t xml:space="preserve">Insitutionsgemensam</t>
  </si>
  <si>
    <t xml:space="preserve">Andel av total</t>
  </si>
  <si>
    <t xml:space="preserve">Uni</t>
  </si>
  <si>
    <t xml:space="preserve">Fak</t>
  </si>
  <si>
    <t xml:space="preserve">C1</t>
  </si>
  <si>
    <t xml:space="preserve">MTC</t>
  </si>
  <si>
    <t xml:space="preserve">C2</t>
  </si>
  <si>
    <t xml:space="preserve">MBB</t>
  </si>
  <si>
    <t xml:space="preserve">C3</t>
  </si>
  <si>
    <t xml:space="preserve">FyFa</t>
  </si>
  <si>
    <t xml:space="preserve">C4</t>
  </si>
  <si>
    <t xml:space="preserve">Neuro</t>
  </si>
  <si>
    <t xml:space="preserve">C5</t>
  </si>
  <si>
    <t xml:space="preserve">CMB</t>
  </si>
  <si>
    <t xml:space="preserve">C6</t>
  </si>
  <si>
    <t xml:space="preserve">IMM</t>
  </si>
  <si>
    <t xml:space="preserve">C7</t>
  </si>
  <si>
    <t xml:space="preserve">LIME</t>
  </si>
  <si>
    <t xml:space="preserve">C8</t>
  </si>
  <si>
    <t xml:space="preserve">MEB</t>
  </si>
  <si>
    <t xml:space="preserve">CC</t>
  </si>
  <si>
    <t xml:space="preserve">KM</t>
  </si>
  <si>
    <t xml:space="preserve">D1</t>
  </si>
  <si>
    <t xml:space="preserve">KIDS</t>
  </si>
  <si>
    <t xml:space="preserve">H1</t>
  </si>
  <si>
    <t xml:space="preserve">NVS</t>
  </si>
  <si>
    <t xml:space="preserve">H2</t>
  </si>
  <si>
    <t xml:space="preserve">BioNut</t>
  </si>
  <si>
    <t xml:space="preserve">H5</t>
  </si>
  <si>
    <t xml:space="preserve">LABMED</t>
  </si>
  <si>
    <t xml:space="preserve">H7</t>
  </si>
  <si>
    <t xml:space="preserve">MedH</t>
  </si>
  <si>
    <t xml:space="preserve">H9</t>
  </si>
  <si>
    <t xml:space="preserve">CLINTEC</t>
  </si>
  <si>
    <t xml:space="preserve">K1</t>
  </si>
  <si>
    <t xml:space="preserve">MMK</t>
  </si>
  <si>
    <t xml:space="preserve">K2</t>
  </si>
  <si>
    <t xml:space="preserve">MedS</t>
  </si>
  <si>
    <t xml:space="preserve">K6</t>
  </si>
  <si>
    <t xml:space="preserve">KBH</t>
  </si>
  <si>
    <t xml:space="preserve">K7</t>
  </si>
  <si>
    <t xml:space="preserve">OnkPat</t>
  </si>
  <si>
    <t xml:space="preserve">K8</t>
  </si>
  <si>
    <t xml:space="preserve">CNS</t>
  </si>
  <si>
    <t xml:space="preserve">K9</t>
  </si>
  <si>
    <t xml:space="preserve">PHS</t>
  </si>
  <si>
    <t xml:space="preserve">OF</t>
  </si>
  <si>
    <t xml:space="preserve">DENTMED</t>
  </si>
  <si>
    <t xml:space="preserve">OV</t>
  </si>
  <si>
    <t xml:space="preserve">Universitetstandvården</t>
  </si>
  <si>
    <t xml:space="preserve">S1</t>
  </si>
  <si>
    <t xml:space="preserve">SÖS</t>
  </si>
  <si>
    <t xml:space="preserve">egen procent på OV</t>
  </si>
  <si>
    <t xml:space="preserve">TL</t>
  </si>
  <si>
    <t xml:space="preserve">Undervisning och lärande</t>
  </si>
  <si>
    <t xml:space="preserve">UF</t>
  </si>
  <si>
    <t xml:space="preserve">Internt</t>
  </si>
  <si>
    <t xml:space="preserve">All INDI budget</t>
  </si>
  <si>
    <t xml:space="preserve">Arbetsgivaransvar</t>
  </si>
  <si>
    <t xml:space="preserve">Beräkning för att få fördelningen på respektive nivå för inst</t>
  </si>
  <si>
    <t xml:space="preserve">Hämtad från slutliga INDI budget</t>
  </si>
  <si>
    <t xml:space="preserve">Forskningsrelaterade projekt</t>
  </si>
  <si>
    <t xml:space="preserve">Grp1</t>
  </si>
  <si>
    <t xml:space="preserve">HuvudGrp</t>
  </si>
  <si>
    <t xml:space="preserve">HuvudGrpEng</t>
  </si>
  <si>
    <t xml:space="preserve">Fin</t>
  </si>
  <si>
    <t xml:space="preserve">Anl</t>
  </si>
  <si>
    <t xml:space="preserve">Mpt</t>
  </si>
  <si>
    <t xml:space="preserve">Verks</t>
  </si>
  <si>
    <t xml:space="preserve">Per</t>
  </si>
  <si>
    <t xml:space="preserve">arbetsgivaransvar i KSEK</t>
  </si>
  <si>
    <t xml:space="preserve">arbetsgivaransvar i SEK</t>
  </si>
  <si>
    <t xml:space="preserve">Management</t>
  </si>
  <si>
    <t xml:space="preserve">Egen kalkylering på denna rad med arbetsgivaransvar</t>
  </si>
  <si>
    <t xml:space="preserve">C181008001</t>
  </si>
  <si>
    <t xml:space="preserve">Ledning/Biomedicum FFU</t>
  </si>
  <si>
    <t xml:space="preserve">C181008002</t>
  </si>
  <si>
    <t xml:space="preserve">Utb eller forskningsadmin</t>
  </si>
  <si>
    <t xml:space="preserve">Education-research</t>
  </si>
  <si>
    <t xml:space="preserve">C182008001</t>
  </si>
  <si>
    <t xml:space="preserve">FFU Administration Biomedicum</t>
  </si>
  <si>
    <t xml:space="preserve">C182008002</t>
  </si>
  <si>
    <t xml:space="preserve">Finances-staff</t>
  </si>
  <si>
    <t xml:space="preserve">C183008001</t>
  </si>
  <si>
    <t xml:space="preserve">Ekonomi/Personal Biomedicum FFU</t>
  </si>
  <si>
    <t xml:space="preserve">C183008002</t>
  </si>
  <si>
    <t xml:space="preserve">Infrastruktur</t>
  </si>
  <si>
    <t xml:space="preserve">Infrastructure-service</t>
  </si>
  <si>
    <t xml:space="preserve">C184008012</t>
  </si>
  <si>
    <t xml:space="preserve">Infrastruktur/Biomedicum GU</t>
  </si>
  <si>
    <t xml:space="preserve">C281008001</t>
  </si>
  <si>
    <t xml:space="preserve">Library</t>
  </si>
  <si>
    <t xml:space="preserve">C281008002</t>
  </si>
  <si>
    <t xml:space="preserve">Level specific, etc.</t>
  </si>
  <si>
    <t xml:space="preserve">C282008001</t>
  </si>
  <si>
    <t xml:space="preserve">CD</t>
  </si>
  <si>
    <t xml:space="preserve">C283008001</t>
  </si>
  <si>
    <t xml:space="preserve">C283008002</t>
  </si>
  <si>
    <t xml:space="preserve">C284008001</t>
  </si>
  <si>
    <t xml:space="preserve">C284008002</t>
  </si>
  <si>
    <t xml:space="preserve">C284008012</t>
  </si>
  <si>
    <t xml:space="preserve">C381008001</t>
  </si>
  <si>
    <t xml:space="preserve">C381008002</t>
  </si>
  <si>
    <t xml:space="preserve">C382008001</t>
  </si>
  <si>
    <t xml:space="preserve">C382008002</t>
  </si>
  <si>
    <t xml:space="preserve">C383008001</t>
  </si>
  <si>
    <t xml:space="preserve">C383008002</t>
  </si>
  <si>
    <t xml:space="preserve">C384008001</t>
  </si>
  <si>
    <t xml:space="preserve">C384008002</t>
  </si>
  <si>
    <t xml:space="preserve">C481008001</t>
  </si>
  <si>
    <t xml:space="preserve">C481008002</t>
  </si>
  <si>
    <t xml:space="preserve">C482008001</t>
  </si>
  <si>
    <t xml:space="preserve">C482008002</t>
  </si>
  <si>
    <t xml:space="preserve">C483008001</t>
  </si>
  <si>
    <t xml:space="preserve">C483008002</t>
  </si>
  <si>
    <t xml:space="preserve">C581008001</t>
  </si>
  <si>
    <t xml:space="preserve">C581008002</t>
  </si>
  <si>
    <t xml:space="preserve">C582008001</t>
  </si>
  <si>
    <t xml:space="preserve">C582008002</t>
  </si>
  <si>
    <t xml:space="preserve">C583008001</t>
  </si>
  <si>
    <t xml:space="preserve">C583008002</t>
  </si>
  <si>
    <t xml:space="preserve">C584008001</t>
  </si>
  <si>
    <t xml:space="preserve">C584008002</t>
  </si>
  <si>
    <t xml:space="preserve">C681008001</t>
  </si>
  <si>
    <t xml:space="preserve">C681008002</t>
  </si>
  <si>
    <t xml:space="preserve">C682008001</t>
  </si>
  <si>
    <t xml:space="preserve">C682008002</t>
  </si>
  <si>
    <t xml:space="preserve">C683008001</t>
  </si>
  <si>
    <t xml:space="preserve">C683008002</t>
  </si>
  <si>
    <t xml:space="preserve">C684008002</t>
  </si>
  <si>
    <t xml:space="preserve">C781008001</t>
  </si>
  <si>
    <t xml:space="preserve">C781008002</t>
  </si>
  <si>
    <t xml:space="preserve">C782008001</t>
  </si>
  <si>
    <t xml:space="preserve">C783008001</t>
  </si>
  <si>
    <t xml:space="preserve">C783008002</t>
  </si>
  <si>
    <t xml:space="preserve">C784008001</t>
  </si>
  <si>
    <t xml:space="preserve">C784008002</t>
  </si>
  <si>
    <t xml:space="preserve">C881008001</t>
  </si>
  <si>
    <t xml:space="preserve">C881008002</t>
  </si>
  <si>
    <t xml:space="preserve">C882008001</t>
  </si>
  <si>
    <t xml:space="preserve">C882008002</t>
  </si>
  <si>
    <t xml:space="preserve">C883008001</t>
  </si>
  <si>
    <t xml:space="preserve">C883008002</t>
  </si>
  <si>
    <t xml:space="preserve">C884008001</t>
  </si>
  <si>
    <t xml:space="preserve">C884008002</t>
  </si>
  <si>
    <t xml:space="preserve">C884008011</t>
  </si>
  <si>
    <t xml:space="preserve">C884008012</t>
  </si>
  <si>
    <t xml:space="preserve">CC81008002</t>
  </si>
  <si>
    <t xml:space="preserve">CC82008001</t>
  </si>
  <si>
    <t xml:space="preserve">CC82008002</t>
  </si>
  <si>
    <t xml:space="preserve">CC83008002</t>
  </si>
  <si>
    <t xml:space="preserve">CC84008002</t>
  </si>
  <si>
    <t xml:space="preserve">D181008001</t>
  </si>
  <si>
    <t xml:space="preserve">D181008002</t>
  </si>
  <si>
    <t xml:space="preserve">D182008001</t>
  </si>
  <si>
    <t xml:space="preserve">D182008002</t>
  </si>
  <si>
    <t xml:space="preserve">D183008001</t>
  </si>
  <si>
    <t xml:space="preserve">D183008002</t>
  </si>
  <si>
    <t xml:space="preserve">D184008001</t>
  </si>
  <si>
    <t xml:space="preserve">D184008002</t>
  </si>
  <si>
    <t xml:space="preserve">H181008001</t>
  </si>
  <si>
    <t xml:space="preserve">H181008002</t>
  </si>
  <si>
    <t xml:space="preserve">H182008001</t>
  </si>
  <si>
    <t xml:space="preserve">H182008002</t>
  </si>
  <si>
    <t xml:space="preserve">H183008001</t>
  </si>
  <si>
    <t xml:space="preserve">H183008002</t>
  </si>
  <si>
    <t xml:space="preserve">H184008001</t>
  </si>
  <si>
    <t xml:space="preserve">H184008002</t>
  </si>
  <si>
    <t xml:space="preserve">H281008001</t>
  </si>
  <si>
    <t xml:space="preserve">H281008002</t>
  </si>
  <si>
    <t xml:space="preserve">H282008001</t>
  </si>
  <si>
    <t xml:space="preserve">H282008002</t>
  </si>
  <si>
    <t xml:space="preserve">H283008001</t>
  </si>
  <si>
    <t xml:space="preserve">H283008002</t>
  </si>
  <si>
    <t xml:space="preserve">H284008001</t>
  </si>
  <si>
    <t xml:space="preserve">H284008002</t>
  </si>
  <si>
    <t xml:space="preserve">H581008001</t>
  </si>
  <si>
    <t xml:space="preserve">H581008002</t>
  </si>
  <si>
    <t xml:space="preserve">H582008001</t>
  </si>
  <si>
    <t xml:space="preserve">H582008002</t>
  </si>
  <si>
    <t xml:space="preserve">H583008001</t>
  </si>
  <si>
    <t xml:space="preserve">H583008002</t>
  </si>
  <si>
    <t xml:space="preserve">H584008001</t>
  </si>
  <si>
    <t xml:space="preserve">H584008002</t>
  </si>
  <si>
    <t xml:space="preserve">H781008001</t>
  </si>
  <si>
    <t xml:space="preserve">H781008002</t>
  </si>
  <si>
    <t xml:space="preserve">H782008001</t>
  </si>
  <si>
    <t xml:space="preserve">H782008002</t>
  </si>
  <si>
    <t xml:space="preserve">H783008001</t>
  </si>
  <si>
    <t xml:space="preserve">H783008002</t>
  </si>
  <si>
    <t xml:space="preserve">H784008001</t>
  </si>
  <si>
    <t xml:space="preserve">H784008002</t>
  </si>
  <si>
    <t xml:space="preserve">H981008001</t>
  </si>
  <si>
    <t xml:space="preserve">H981008002</t>
  </si>
  <si>
    <t xml:space="preserve">H982008001</t>
  </si>
  <si>
    <t xml:space="preserve">H982008002</t>
  </si>
  <si>
    <t xml:space="preserve">H983008001</t>
  </si>
  <si>
    <t xml:space="preserve">H983008002</t>
  </si>
  <si>
    <t xml:space="preserve">H984008001</t>
  </si>
  <si>
    <t xml:space="preserve">H984008002</t>
  </si>
  <si>
    <t xml:space="preserve">K181008001</t>
  </si>
  <si>
    <t xml:space="preserve">K181008002</t>
  </si>
  <si>
    <t xml:space="preserve">K181008012</t>
  </si>
  <si>
    <t xml:space="preserve">K182008001</t>
  </si>
  <si>
    <t xml:space="preserve">K182008002</t>
  </si>
  <si>
    <t xml:space="preserve">K183008001</t>
  </si>
  <si>
    <t xml:space="preserve">K183008002</t>
  </si>
  <si>
    <t xml:space="preserve">K184008001</t>
  </si>
  <si>
    <t xml:space="preserve">K184008002</t>
  </si>
  <si>
    <t xml:space="preserve">K281008001</t>
  </si>
  <si>
    <t xml:space="preserve">K281008002</t>
  </si>
  <si>
    <t xml:space="preserve">K282008001</t>
  </si>
  <si>
    <t xml:space="preserve">K282008002</t>
  </si>
  <si>
    <t xml:space="preserve">K283008001</t>
  </si>
  <si>
    <t xml:space="preserve">K283008002</t>
  </si>
  <si>
    <t xml:space="preserve">K284008001</t>
  </si>
  <si>
    <t xml:space="preserve">K284008002</t>
  </si>
  <si>
    <t xml:space="preserve">K681008001</t>
  </si>
  <si>
    <t xml:space="preserve">K681008002</t>
  </si>
  <si>
    <t xml:space="preserve">K682008001</t>
  </si>
  <si>
    <t xml:space="preserve">K682008002</t>
  </si>
  <si>
    <t xml:space="preserve">K683008001</t>
  </si>
  <si>
    <t xml:space="preserve">K683008002</t>
  </si>
  <si>
    <t xml:space="preserve">K684008001</t>
  </si>
  <si>
    <t xml:space="preserve">K684008002</t>
  </si>
  <si>
    <t xml:space="preserve">K781008001</t>
  </si>
  <si>
    <t xml:space="preserve">K781008002</t>
  </si>
  <si>
    <t xml:space="preserve">K782008002</t>
  </si>
  <si>
    <t xml:space="preserve">K783008001</t>
  </si>
  <si>
    <t xml:space="preserve">K783008002</t>
  </si>
  <si>
    <t xml:space="preserve">K784008001</t>
  </si>
  <si>
    <t xml:space="preserve">K784008002</t>
  </si>
  <si>
    <t xml:space="preserve">K881008001</t>
  </si>
  <si>
    <t xml:space="preserve">K881008002</t>
  </si>
  <si>
    <t xml:space="preserve">K882008001</t>
  </si>
  <si>
    <t xml:space="preserve">K882008002</t>
  </si>
  <si>
    <t xml:space="preserve">K883008001</t>
  </si>
  <si>
    <t xml:space="preserve">K883008002</t>
  </si>
  <si>
    <t xml:space="preserve">K884008001</t>
  </si>
  <si>
    <t xml:space="preserve">K884008002</t>
  </si>
  <si>
    <t xml:space="preserve">K981008001</t>
  </si>
  <si>
    <t xml:space="preserve">K981008002</t>
  </si>
  <si>
    <t xml:space="preserve">K982008001</t>
  </si>
  <si>
    <t xml:space="preserve">K982008002</t>
  </si>
  <si>
    <t xml:space="preserve">K983008001</t>
  </si>
  <si>
    <t xml:space="preserve">K983008002</t>
  </si>
  <si>
    <t xml:space="preserve">K984008001</t>
  </si>
  <si>
    <t xml:space="preserve">K984008002</t>
  </si>
  <si>
    <t xml:space="preserve">OF81008001</t>
  </si>
  <si>
    <t xml:space="preserve">OF81008002</t>
  </si>
  <si>
    <t xml:space="preserve">OF82008001</t>
  </si>
  <si>
    <t xml:space="preserve">OF82008002</t>
  </si>
  <si>
    <t xml:space="preserve">OF83008001</t>
  </si>
  <si>
    <t xml:space="preserve">OF83008002</t>
  </si>
  <si>
    <t xml:space="preserve">OF83008011</t>
  </si>
  <si>
    <t xml:space="preserve">OF83008012</t>
  </si>
  <si>
    <t xml:space="preserve">OF84008001</t>
  </si>
  <si>
    <t xml:space="preserve">OF84008002</t>
  </si>
  <si>
    <t xml:space="preserve">OF84008011</t>
  </si>
  <si>
    <t xml:space="preserve">OF84008012</t>
  </si>
  <si>
    <t xml:space="preserve">OV81008001</t>
  </si>
  <si>
    <t xml:space="preserve">OV81008002</t>
  </si>
  <si>
    <t xml:space="preserve">OV83008001</t>
  </si>
  <si>
    <t xml:space="preserve">OV83008002</t>
  </si>
  <si>
    <t xml:space="preserve">OV83008011</t>
  </si>
  <si>
    <t xml:space="preserve">OV83008012</t>
  </si>
  <si>
    <t xml:space="preserve">OV84008001</t>
  </si>
  <si>
    <t xml:space="preserve">OV84008002</t>
  </si>
  <si>
    <t xml:space="preserve">OV84008011</t>
  </si>
  <si>
    <t xml:space="preserve">OV84008012</t>
  </si>
  <si>
    <t xml:space="preserve">S181008001</t>
  </si>
  <si>
    <t xml:space="preserve">S181008002</t>
  </si>
  <si>
    <t xml:space="preserve">S182008001</t>
  </si>
  <si>
    <t xml:space="preserve">S182008002</t>
  </si>
  <si>
    <t xml:space="preserve">S183008001</t>
  </si>
  <si>
    <t xml:space="preserve">S183008002</t>
  </si>
  <si>
    <t xml:space="preserve">S184008001</t>
  </si>
  <si>
    <t xml:space="preserve">S184008002</t>
  </si>
  <si>
    <t xml:space="preserve">TL81008001</t>
  </si>
  <si>
    <t xml:space="preserve">TL81008002</t>
  </si>
  <si>
    <t xml:space="preserve">TL82008001</t>
  </si>
  <si>
    <t xml:space="preserve">TL82008002</t>
  </si>
  <si>
    <t xml:space="preserve">TL83008001</t>
  </si>
  <si>
    <t xml:space="preserve">TL83008002</t>
  </si>
</sst>
</file>

<file path=xl/styles.xml><?xml version="1.0" encoding="utf-8"?>
<styleSheet xmlns="http://schemas.openxmlformats.org/spreadsheetml/2006/main">
  <numFmts count="16">
    <numFmt numFmtId="164" formatCode="General"/>
    <numFmt numFmtId="165" formatCode="General"/>
    <numFmt numFmtId="166" formatCode="0%"/>
    <numFmt numFmtId="167" formatCode="0.00%"/>
    <numFmt numFmtId="168" formatCode="@"/>
    <numFmt numFmtId="169" formatCode="#,##0"/>
    <numFmt numFmtId="170" formatCode="#,##0.00"/>
    <numFmt numFmtId="171" formatCode="0.00"/>
    <numFmt numFmtId="172" formatCode="#,##0.00_ ;[RED]\-#,##0.00\ "/>
    <numFmt numFmtId="173" formatCode="_-* #,##0&quot; kr&quot;_-;\-* #,##0&quot; kr&quot;_-;_-* \-??&quot; kr&quot;_-;_-@_-"/>
    <numFmt numFmtId="174" formatCode="_-* #,##0.00&quot; kr&quot;_-;\-* #,##0.00&quot; kr&quot;_-;_-* \-??&quot; kr&quot;_-;_-@_-"/>
    <numFmt numFmtId="175" formatCode="#,##0_ ;\-#,##0\ "/>
    <numFmt numFmtId="176" formatCode="dd/mm/yyyy"/>
    <numFmt numFmtId="177" formatCode="0.0000%"/>
    <numFmt numFmtId="178" formatCode="#,##0_ ;[RED]\-#,##0\ "/>
    <numFmt numFmtId="179" formatCode="0.0000"/>
  </numFmts>
  <fonts count="53">
    <font>
      <sz val="11"/>
      <color rgb="FF000000"/>
      <name val="Arial"/>
      <family val="2"/>
      <charset val="1"/>
    </font>
    <font>
      <sz val="10"/>
      <name val="Arial"/>
      <family val="0"/>
    </font>
    <font>
      <sz val="10"/>
      <name val="Arial"/>
      <family val="0"/>
    </font>
    <font>
      <sz val="10"/>
      <name val="Arial"/>
      <family val="0"/>
    </font>
    <font>
      <sz val="10"/>
      <name val="Arial"/>
      <family val="2"/>
      <charset val="1"/>
    </font>
    <font>
      <sz val="9"/>
      <color rgb="FF000000"/>
      <name val="Arial"/>
      <family val="2"/>
      <charset val="1"/>
    </font>
    <font>
      <b val="true"/>
      <sz val="20"/>
      <color rgb="FFFFFFFF"/>
      <name val="Arial"/>
      <family val="2"/>
      <charset val="1"/>
    </font>
    <font>
      <b val="true"/>
      <sz val="9"/>
      <color rgb="FFFFFFFF"/>
      <name val="Arial"/>
      <family val="2"/>
      <charset val="1"/>
    </font>
    <font>
      <b val="true"/>
      <sz val="11"/>
      <color rgb="FF000000"/>
      <name val="Arial"/>
      <family val="2"/>
      <charset val="1"/>
    </font>
    <font>
      <b val="true"/>
      <sz val="9"/>
      <color rgb="FF000000"/>
      <name val="Arial"/>
      <family val="2"/>
      <charset val="1"/>
    </font>
    <font>
      <sz val="8"/>
      <color rgb="FF000000"/>
      <name val="Arial"/>
      <family val="2"/>
      <charset val="1"/>
    </font>
    <font>
      <b val="true"/>
      <sz val="14"/>
      <color rgb="FF000000"/>
      <name val="Arial"/>
      <family val="2"/>
      <charset val="1"/>
    </font>
    <font>
      <sz val="9"/>
      <color rgb="FFFFFFFF"/>
      <name val="Arial"/>
      <family val="2"/>
      <charset val="1"/>
    </font>
    <font>
      <sz val="9"/>
      <name val="Arial"/>
      <family val="2"/>
      <charset val="1"/>
    </font>
    <font>
      <i val="true"/>
      <sz val="9"/>
      <color rgb="FFFF0000"/>
      <name val="Arial"/>
      <family val="2"/>
      <charset val="1"/>
    </font>
    <font>
      <u val="single"/>
      <sz val="8"/>
      <color rgb="FFD40963"/>
      <name val="Arial"/>
      <family val="2"/>
      <charset val="1"/>
    </font>
    <font>
      <u val="single"/>
      <sz val="11"/>
      <color rgb="FFD40963"/>
      <name val="Arial"/>
      <family val="2"/>
      <charset val="1"/>
    </font>
    <font>
      <sz val="11"/>
      <color rgb="FFFFFFFF"/>
      <name val="Arial"/>
      <family val="2"/>
      <charset val="1"/>
    </font>
    <font>
      <sz val="8"/>
      <color rgb="FFFFFFFF"/>
      <name val="Arial"/>
      <family val="2"/>
      <charset val="1"/>
    </font>
    <font>
      <sz val="11"/>
      <name val="Arial"/>
      <family val="2"/>
      <charset val="1"/>
    </font>
    <font>
      <b val="true"/>
      <sz val="10"/>
      <name val="Arial"/>
      <family val="2"/>
      <charset val="1"/>
    </font>
    <font>
      <b val="true"/>
      <sz val="8"/>
      <color rgb="FF000000"/>
      <name val="Arial"/>
      <family val="2"/>
      <charset val="1"/>
    </font>
    <font>
      <b val="true"/>
      <sz val="9"/>
      <name val="Arial"/>
      <family val="2"/>
      <charset val="1"/>
    </font>
    <font>
      <b val="true"/>
      <sz val="11"/>
      <color rgb="FFFFFFFF"/>
      <name val="Arial"/>
      <family val="2"/>
      <charset val="1"/>
    </font>
    <font>
      <u val="single"/>
      <sz val="9"/>
      <name val="Arial"/>
      <family val="2"/>
      <charset val="1"/>
    </font>
    <font>
      <b val="true"/>
      <sz val="10"/>
      <color rgb="FF000000"/>
      <name val="Arial"/>
      <family val="2"/>
      <charset val="1"/>
    </font>
    <font>
      <b val="true"/>
      <strike val="true"/>
      <sz val="11"/>
      <color rgb="FF000000"/>
      <name val="Arial"/>
      <family val="2"/>
      <charset val="1"/>
    </font>
    <font>
      <strike val="true"/>
      <sz val="9"/>
      <color rgb="FF000000"/>
      <name val="Arial"/>
      <family val="2"/>
      <charset val="1"/>
    </font>
    <font>
      <strike val="true"/>
      <sz val="9"/>
      <color rgb="FFFFFFFF"/>
      <name val="Arial"/>
      <family val="2"/>
      <charset val="1"/>
    </font>
    <font>
      <u val="single"/>
      <sz val="9"/>
      <color rgb="FFD40963"/>
      <name val="Arial"/>
      <family val="2"/>
      <charset val="1"/>
    </font>
    <font>
      <b val="true"/>
      <sz val="8"/>
      <name val="Arial"/>
      <family val="2"/>
      <charset val="1"/>
    </font>
    <font>
      <b val="true"/>
      <sz val="9"/>
      <color rgb="FFFF0000"/>
      <name val="Arial"/>
      <family val="2"/>
      <charset val="1"/>
    </font>
    <font>
      <sz val="8"/>
      <name val="Arial"/>
      <family val="2"/>
      <charset val="1"/>
    </font>
    <font>
      <u val="single"/>
      <sz val="8"/>
      <name val="Arial"/>
      <family val="2"/>
      <charset val="1"/>
    </font>
    <font>
      <sz val="14"/>
      <color rgb="FF000000"/>
      <name val="Arial"/>
      <family val="2"/>
      <charset val="1"/>
    </font>
    <font>
      <sz val="22"/>
      <color rgb="FF000000"/>
      <name val="Arial"/>
      <family val="2"/>
      <charset val="1"/>
    </font>
    <font>
      <b val="true"/>
      <sz val="22"/>
      <color rgb="FFFFFFFF"/>
      <name val="Arial"/>
      <family val="2"/>
      <charset val="1"/>
    </font>
    <font>
      <sz val="22"/>
      <color rgb="FFFFFFFF"/>
      <name val="Arial"/>
      <family val="2"/>
      <charset val="1"/>
    </font>
    <font>
      <b val="true"/>
      <sz val="26"/>
      <color rgb="FFFF0000"/>
      <name val="Arial"/>
      <family val="2"/>
      <charset val="1"/>
    </font>
    <font>
      <b val="true"/>
      <sz val="14"/>
      <color rgb="FFFF0000"/>
      <name val="Arial"/>
      <family val="2"/>
      <charset val="1"/>
    </font>
    <font>
      <b val="true"/>
      <sz val="16"/>
      <color rgb="FFFFFFFF"/>
      <name val="Arial"/>
      <family val="2"/>
      <charset val="1"/>
    </font>
    <font>
      <i val="true"/>
      <sz val="14"/>
      <color rgb="FF000000"/>
      <name val="Arial"/>
      <family val="2"/>
      <charset val="1"/>
    </font>
    <font>
      <sz val="14"/>
      <name val="Arial"/>
      <family val="2"/>
      <charset val="1"/>
    </font>
    <font>
      <b val="true"/>
      <i val="true"/>
      <sz val="14"/>
      <color rgb="FF000000"/>
      <name val="Arial"/>
      <family val="2"/>
      <charset val="1"/>
    </font>
    <font>
      <b val="true"/>
      <sz val="12"/>
      <name val="Arial"/>
      <family val="2"/>
      <charset val="1"/>
    </font>
    <font>
      <b val="true"/>
      <sz val="11"/>
      <name val="Arial"/>
      <family val="2"/>
      <charset val="1"/>
    </font>
    <font>
      <sz val="18"/>
      <name val="Arial"/>
      <family val="2"/>
      <charset val="1"/>
    </font>
    <font>
      <sz val="11"/>
      <color rgb="FF9C6500"/>
      <name val="Arial"/>
      <family val="2"/>
      <charset val="1"/>
    </font>
    <font>
      <sz val="10"/>
      <color rgb="FF000000"/>
      <name val="Arial"/>
      <family val="2"/>
      <charset val="1"/>
    </font>
    <font>
      <sz val="10"/>
      <color rgb="FFFFFFFF"/>
      <name val="Arial"/>
      <family val="2"/>
      <charset val="1"/>
    </font>
    <font>
      <b val="true"/>
      <sz val="11"/>
      <color rgb="FFFF0000"/>
      <name val="Arial"/>
      <family val="2"/>
      <charset val="1"/>
    </font>
    <font>
      <b val="true"/>
      <sz val="9"/>
      <color rgb="FFFA7D00"/>
      <name val="Arial"/>
      <family val="2"/>
      <charset val="1"/>
    </font>
    <font>
      <b val="true"/>
      <sz val="11"/>
      <color rgb="FFFA7D00"/>
      <name val="Arial"/>
      <family val="2"/>
      <charset val="1"/>
    </font>
  </fonts>
  <fills count="18">
    <fill>
      <patternFill patternType="none"/>
    </fill>
    <fill>
      <patternFill patternType="gray125"/>
    </fill>
    <fill>
      <patternFill patternType="solid">
        <fgColor rgb="FFECFAFB"/>
        <bgColor rgb="FFE9F6F6"/>
      </patternFill>
    </fill>
    <fill>
      <patternFill patternType="solid">
        <fgColor rgb="FFFFEB9C"/>
        <bgColor rgb="FFF3EEF0"/>
      </patternFill>
    </fill>
    <fill>
      <patternFill patternType="solid">
        <fgColor rgb="FFF2F2F2"/>
        <bgColor rgb="FFF3EEF0"/>
      </patternFill>
    </fill>
    <fill>
      <patternFill patternType="solid">
        <fgColor rgb="FFD40963"/>
        <bgColor rgb="FFFF0000"/>
      </patternFill>
    </fill>
    <fill>
      <patternFill patternType="solid">
        <fgColor rgb="FFC5F0F2"/>
        <bgColor rgb="FFBCE3E5"/>
      </patternFill>
    </fill>
    <fill>
      <patternFill patternType="solid">
        <fgColor rgb="FFA6A6A6"/>
        <bgColor rgb="FFBFBFBF"/>
      </patternFill>
    </fill>
    <fill>
      <patternFill patternType="solid">
        <fgColor rgb="FFB0CA3B"/>
        <bgColor rgb="FFBFBFBF"/>
      </patternFill>
    </fill>
    <fill>
      <patternFill patternType="solid">
        <fgColor rgb="FF870052"/>
        <bgColor rgb="FF800080"/>
      </patternFill>
    </fill>
    <fill>
      <patternFill patternType="solid">
        <fgColor rgb="FFD9D9D9"/>
        <bgColor rgb="FFBCE3E5"/>
      </patternFill>
    </fill>
    <fill>
      <patternFill patternType="solid">
        <fgColor rgb="FFFFFFFF"/>
        <bgColor rgb="FFECFAFB"/>
      </patternFill>
    </fill>
    <fill>
      <patternFill patternType="solid">
        <fgColor rgb="FF4FD1D7"/>
        <bgColor rgb="FF00CCFF"/>
      </patternFill>
    </fill>
    <fill>
      <patternFill patternType="solid">
        <fgColor rgb="FFFFFF00"/>
        <bgColor rgb="FFFFFF00"/>
      </patternFill>
    </fill>
    <fill>
      <patternFill patternType="solid">
        <fgColor rgb="FFBCE3E5"/>
        <bgColor rgb="FFC5F0F2"/>
      </patternFill>
    </fill>
    <fill>
      <patternFill patternType="solid">
        <fgColor rgb="FFE9F6F6"/>
        <bgColor rgb="FFECFAFB"/>
      </patternFill>
    </fill>
    <fill>
      <patternFill patternType="solid">
        <fgColor rgb="FFBFBFBF"/>
        <bgColor rgb="FFA6A6A6"/>
      </patternFill>
    </fill>
    <fill>
      <patternFill patternType="solid">
        <fgColor rgb="FFF3EEF0"/>
        <bgColor rgb="FFF2F2F2"/>
      </patternFill>
    </fill>
  </fills>
  <borders count="109">
    <border diagonalUp="false" diagonalDown="false">
      <left/>
      <right/>
      <top/>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thick"/>
      <right style="thick"/>
      <top style="thick"/>
      <bottom/>
      <diagonal/>
    </border>
    <border diagonalUp="false" diagonalDown="false">
      <left style="thick"/>
      <right style="thick"/>
      <top style="thick"/>
      <bottom style="thick"/>
      <diagonal/>
    </border>
    <border diagonalUp="false" diagonalDown="false">
      <left style="thick"/>
      <right/>
      <top style="thick"/>
      <bottom/>
      <diagonal/>
    </border>
    <border diagonalUp="false" diagonalDown="false">
      <left/>
      <right/>
      <top style="thick"/>
      <bottom/>
      <diagonal/>
    </border>
    <border diagonalUp="false" diagonalDown="false">
      <left/>
      <right style="thick"/>
      <top style="thick"/>
      <bottom/>
      <diagonal/>
    </border>
    <border diagonalUp="false" diagonalDown="false">
      <left style="thick"/>
      <right/>
      <top/>
      <bottom/>
      <diagonal/>
    </border>
    <border diagonalUp="false" diagonalDown="false">
      <left/>
      <right style="thick"/>
      <top/>
      <bottom/>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thick"/>
      <right style="thick"/>
      <top/>
      <bottom/>
      <diagonal/>
    </border>
    <border diagonalUp="false" diagonalDown="false">
      <left style="medium"/>
      <right/>
      <top/>
      <bottom/>
      <diagonal/>
    </border>
    <border diagonalUp="false" diagonalDown="false">
      <left/>
      <right style="medium"/>
      <top/>
      <botto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medium"/>
      <right/>
      <top style="thin"/>
      <bottom style="thin"/>
      <diagonal/>
    </border>
    <border diagonalUp="false" diagonalDown="false">
      <left/>
      <right/>
      <top style="thin"/>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medium"/>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medium"/>
      <top/>
      <bottom/>
      <diagonal/>
    </border>
    <border diagonalUp="false" diagonalDown="false">
      <left style="thin"/>
      <right style="thin"/>
      <top style="thin"/>
      <bottom style="medium"/>
      <diagonal/>
    </border>
    <border diagonalUp="false" diagonalDown="false">
      <left style="thick"/>
      <right style="thick"/>
      <top/>
      <bottom style="thick"/>
      <diagonal/>
    </border>
    <border diagonalUp="false" diagonalDown="false">
      <left style="medium"/>
      <right/>
      <top/>
      <bottom style="dotted"/>
      <diagonal/>
    </border>
    <border diagonalUp="false" diagonalDown="false">
      <left/>
      <right/>
      <top/>
      <bottom style="dotted"/>
      <diagonal/>
    </border>
    <border diagonalUp="false" diagonalDown="false">
      <left/>
      <right/>
      <top/>
      <bottom style="dashed"/>
      <diagonal/>
    </border>
    <border diagonalUp="false" diagonalDown="false">
      <left/>
      <right/>
      <top/>
      <bottom style="thin"/>
      <diagonal/>
    </border>
    <border diagonalUp="false" diagonalDown="false">
      <left style="thick"/>
      <right/>
      <top/>
      <bottom style="thick"/>
      <diagonal/>
    </border>
    <border diagonalUp="false" diagonalDown="false">
      <left/>
      <right/>
      <top/>
      <bottom style="thick"/>
      <diagonal/>
    </border>
    <border diagonalUp="false" diagonalDown="false">
      <left/>
      <right style="thick"/>
      <top/>
      <bottom style="thick"/>
      <diagonal/>
    </border>
    <border diagonalUp="false" diagonalDown="false">
      <left style="thin"/>
      <right/>
      <top style="thin"/>
      <bottom style="thin"/>
      <diagonal/>
    </border>
    <border diagonalUp="false" diagonalDown="false">
      <left style="dotted"/>
      <right/>
      <top style="dotted"/>
      <bottom/>
      <diagonal/>
    </border>
    <border diagonalUp="false" diagonalDown="false">
      <left/>
      <right/>
      <top style="dotted"/>
      <bottom/>
      <diagonal/>
    </border>
    <border diagonalUp="false" diagonalDown="false">
      <left/>
      <right style="dotted"/>
      <top style="dotted"/>
      <bottom/>
      <diagonal/>
    </border>
    <border diagonalUp="false" diagonalDown="false">
      <left style="dotted"/>
      <right/>
      <top/>
      <bottom/>
      <diagonal/>
    </border>
    <border diagonalUp="false" diagonalDown="false">
      <left/>
      <right style="dotted"/>
      <top/>
      <bottom/>
      <diagonal/>
    </border>
    <border diagonalUp="false" diagonalDown="false">
      <left style="dotted"/>
      <right/>
      <top/>
      <bottom style="dotted"/>
      <diagonal/>
    </border>
    <border diagonalUp="false" diagonalDown="false">
      <left/>
      <right style="dotted"/>
      <top/>
      <bottom style="dotted"/>
      <diagonal/>
    </border>
    <border diagonalUp="false" diagonalDown="false">
      <left/>
      <right style="hair"/>
      <top/>
      <bottom/>
      <diagonal/>
    </border>
    <border diagonalUp="false" diagonalDown="false">
      <left style="hair"/>
      <right style="hair"/>
      <top/>
      <bottom/>
      <diagonal/>
    </border>
    <border diagonalUp="false" diagonalDown="false">
      <left/>
      <right style="hair"/>
      <top/>
      <bottom style="hair"/>
      <diagonal/>
    </border>
    <border diagonalUp="false" diagonalDown="false">
      <left style="hair"/>
      <right style="hair"/>
      <top/>
      <bottom style="hair"/>
      <diagonal/>
    </border>
    <border diagonalUp="false" diagonalDown="false">
      <left style="thin"/>
      <right style="medium"/>
      <top style="thin"/>
      <bottom style="mediu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medium">
        <color rgb="FF0070C0"/>
      </left>
      <right/>
      <top style="medium">
        <color rgb="FF0070C0"/>
      </top>
      <bottom style="medium">
        <color rgb="FF0070C0"/>
      </bottom>
      <diagonal/>
    </border>
    <border diagonalUp="false" diagonalDown="false">
      <left/>
      <right/>
      <top style="medium">
        <color rgb="FF0070C0"/>
      </top>
      <bottom style="medium">
        <color rgb="FF0070C0"/>
      </bottom>
      <diagonal/>
    </border>
    <border diagonalUp="false" diagonalDown="false">
      <left/>
      <right style="medium">
        <color rgb="FF0070C0"/>
      </right>
      <top style="medium">
        <color rgb="FF0070C0"/>
      </top>
      <bottom style="medium">
        <color rgb="FF0070C0"/>
      </bottom>
      <diagonal/>
    </border>
    <border diagonalUp="false" diagonalDown="false">
      <left/>
      <right/>
      <top style="medium">
        <color rgb="FFFFFFFF"/>
      </top>
      <bottom style="medium">
        <color rgb="FFFFFFFF"/>
      </botto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right/>
      <top/>
      <bottom style="medium">
        <color rgb="FF0070C0"/>
      </bottom>
      <diagonal/>
    </border>
    <border diagonalUp="false" diagonalDown="false">
      <left/>
      <right style="medium">
        <color rgb="FF0070C0"/>
      </right>
      <top/>
      <bottom/>
      <diagonal/>
    </border>
    <border diagonalUp="false" diagonalDown="false">
      <left/>
      <right style="medium">
        <color rgb="FF0070C0"/>
      </right>
      <top style="medium">
        <color rgb="FF0070C0"/>
      </top>
      <bottom/>
      <diagonal/>
    </border>
    <border diagonalUp="false" diagonalDown="false">
      <left style="thin">
        <color rgb="FF0070C0"/>
      </left>
      <right/>
      <top style="thin">
        <color rgb="FF0070C0"/>
      </top>
      <bottom style="thin">
        <color rgb="FF0070C0"/>
      </bottom>
      <diagonal/>
    </border>
    <border diagonalUp="false" diagonalDown="false">
      <left/>
      <right style="thin">
        <color rgb="FF0070C0"/>
      </right>
      <top style="thin">
        <color rgb="FF0070C0"/>
      </top>
      <bottom style="thin">
        <color rgb="FF0070C0"/>
      </bottom>
      <diagonal/>
    </border>
    <border diagonalUp="false" diagonalDown="false">
      <left style="medium">
        <color rgb="FF0070C0"/>
      </left>
      <right/>
      <top/>
      <bottom/>
      <diagonal/>
    </border>
    <border diagonalUp="false" diagonalDown="false">
      <left/>
      <right/>
      <top style="thin">
        <color rgb="FF737373"/>
      </top>
      <bottom style="thin">
        <color rgb="FF737373"/>
      </bottom>
      <diagonal/>
    </border>
    <border diagonalUp="false" diagonalDown="false">
      <left style="thin">
        <color rgb="FF0070C0"/>
      </left>
      <right/>
      <top/>
      <bottom/>
      <diagonal/>
    </border>
    <border diagonalUp="false" diagonalDown="false">
      <left/>
      <right style="thin">
        <color rgb="FF0070C0"/>
      </right>
      <top/>
      <bottom/>
      <diagonal/>
    </border>
    <border diagonalUp="false" diagonalDown="false">
      <left/>
      <right/>
      <top style="thin">
        <color rgb="FF737373"/>
      </top>
      <bottom/>
      <diagonal/>
    </border>
    <border diagonalUp="false" diagonalDown="false">
      <left style="thin">
        <color rgb="FF0070C0"/>
      </left>
      <right/>
      <top/>
      <bottom style="thin">
        <color rgb="FF0070C0"/>
      </bottom>
      <diagonal/>
    </border>
    <border diagonalUp="false" diagonalDown="false">
      <left/>
      <right style="thin">
        <color rgb="FF0070C0"/>
      </right>
      <top/>
      <bottom style="thin">
        <color rgb="FF0070C0"/>
      </bottom>
      <diagonal/>
    </border>
    <border diagonalUp="false" diagonalDown="false">
      <left/>
      <right/>
      <top style="thin">
        <color rgb="FF7F7F7F"/>
      </top>
      <bottom style="thin">
        <color rgb="FF737373"/>
      </bottom>
      <diagonal/>
    </border>
    <border diagonalUp="false" diagonalDown="false">
      <left style="medium">
        <color rgb="FF0070C0"/>
      </left>
      <right/>
      <top/>
      <bottom style="medium">
        <color rgb="FF0070C0"/>
      </bottom>
      <diagonal/>
    </border>
    <border diagonalUp="false" diagonalDown="false">
      <left/>
      <right/>
      <top style="thin">
        <color rgb="FF737373"/>
      </top>
      <bottom style="medium">
        <color rgb="FF0070C0"/>
      </bottom>
      <diagonal/>
    </border>
    <border diagonalUp="false" diagonalDown="false">
      <left/>
      <right/>
      <top style="medium">
        <color rgb="FF0070C0"/>
      </top>
      <bottom/>
      <diagonal/>
    </border>
    <border diagonalUp="false" diagonalDown="false">
      <left style="medium">
        <color rgb="FF0070C0"/>
      </left>
      <right/>
      <top style="medium">
        <color rgb="FF0070C0"/>
      </top>
      <bottom/>
      <diagonal/>
    </border>
    <border diagonalUp="false" diagonalDown="false">
      <left style="medium">
        <color rgb="FF0070C0"/>
      </left>
      <right/>
      <top style="thin">
        <color rgb="FF737373"/>
      </top>
      <bottom/>
      <diagonal/>
    </border>
    <border diagonalUp="false" diagonalDown="false">
      <left/>
      <right style="medium">
        <color rgb="FF0070C0"/>
      </right>
      <top style="thin">
        <color rgb="FF737373"/>
      </top>
      <bottom style="thin">
        <color rgb="FF737373"/>
      </bottom>
      <diagonal/>
    </border>
    <border diagonalUp="false" diagonalDown="false">
      <left/>
      <right style="thin">
        <color rgb="FF737373"/>
      </right>
      <top style="thin">
        <color rgb="FF737373"/>
      </top>
      <bottom/>
      <diagonal/>
    </border>
    <border diagonalUp="false" diagonalDown="false">
      <left/>
      <right style="thin">
        <color rgb="FF737373"/>
      </right>
      <top/>
      <bottom/>
      <diagonal/>
    </border>
    <border diagonalUp="false" diagonalDown="false">
      <left/>
      <right/>
      <top/>
      <bottom style="thin">
        <color rgb="FF737373"/>
      </bottom>
      <diagonal/>
    </border>
    <border diagonalUp="false" diagonalDown="false">
      <left/>
      <right style="thin">
        <color rgb="FF737373"/>
      </right>
      <top/>
      <bottom style="thin">
        <color rgb="FF737373"/>
      </bottom>
      <diagonal/>
    </border>
    <border diagonalUp="false" diagonalDown="false">
      <left/>
      <right/>
      <top style="thin">
        <color rgb="FF737373"/>
      </top>
      <bottom style="thin">
        <color rgb="FF7F7F7F"/>
      </bottom>
      <diagonal/>
    </border>
    <border diagonalUp="false" diagonalDown="false">
      <left/>
      <right/>
      <top style="medium">
        <color rgb="FF0070C0"/>
      </top>
      <bottom style="thin">
        <color rgb="FF737373"/>
      </bottom>
      <diagonal/>
    </border>
    <border diagonalUp="false" diagonalDown="false">
      <left/>
      <right/>
      <top/>
      <bottom style="thin">
        <color rgb="FF7F7F7F"/>
      </bottom>
      <diagonal/>
    </border>
    <border diagonalUp="false" diagonalDown="false">
      <left/>
      <right style="medium">
        <color rgb="FF0070C0"/>
      </right>
      <top/>
      <bottom style="thin">
        <color rgb="FF7F7F7F"/>
      </bottom>
      <diagonal/>
    </border>
    <border diagonalUp="false" diagonalDown="false">
      <left/>
      <right/>
      <top style="thin">
        <color rgb="FF7F7F7F"/>
      </top>
      <bottom style="thin">
        <color rgb="FF7F7F7F"/>
      </bottom>
      <diagonal/>
    </border>
    <border diagonalUp="false" diagonalDown="false">
      <left/>
      <right style="medium">
        <color rgb="FF0070C0"/>
      </right>
      <top style="thin">
        <color rgb="FF7F7F7F"/>
      </top>
      <bottom style="thin">
        <color rgb="FF7F7F7F"/>
      </bottom>
      <diagonal/>
    </border>
    <border diagonalUp="false" diagonalDown="false">
      <left/>
      <right style="thin">
        <color rgb="FF7F7F7F"/>
      </right>
      <top style="thin">
        <color rgb="FF7F7F7F"/>
      </top>
      <bottom style="thin">
        <color rgb="FF7F7F7F"/>
      </bottom>
      <diagonal/>
    </border>
    <border diagonalUp="false" diagonalDown="false">
      <left style="thin">
        <color rgb="FF737373"/>
      </left>
      <right/>
      <top style="thin">
        <color rgb="FF737373"/>
      </top>
      <bottom style="thin">
        <color rgb="FF737373"/>
      </bottom>
      <diagonal/>
    </border>
    <border diagonalUp="false" diagonalDown="false">
      <left/>
      <right/>
      <top style="thin">
        <color rgb="FF7F7F7F"/>
      </top>
      <bottom/>
      <diagonal/>
    </border>
    <border diagonalUp="false" diagonalDown="false">
      <left/>
      <right/>
      <top style="thin">
        <color rgb="FF7F7F7F"/>
      </top>
      <bottom style="thin"/>
      <diagonal/>
    </border>
    <border diagonalUp="false" diagonalDown="false">
      <left/>
      <right/>
      <top style="thin">
        <color rgb="FF7F7F7F"/>
      </top>
      <bottom style="medium">
        <color rgb="FF0070C0"/>
      </bottom>
      <diagonal/>
    </border>
    <border diagonalUp="false" diagonalDown="false">
      <left/>
      <right/>
      <top style="thin"/>
      <bottom style="medium">
        <color rgb="FF0070C0"/>
      </bottom>
      <diagonal/>
    </border>
    <border diagonalUp="false" diagonalDown="false">
      <left/>
      <right style="thin">
        <color rgb="FF737373"/>
      </right>
      <top style="medium">
        <color rgb="FF0070C0"/>
      </top>
      <bottom/>
      <diagonal/>
    </border>
    <border diagonalUp="false" diagonalDown="false">
      <left style="thin">
        <color rgb="FF737373"/>
      </left>
      <right style="thin">
        <color rgb="FF737373"/>
      </right>
      <top style="medium">
        <color rgb="FF0070C0"/>
      </top>
      <bottom/>
      <diagonal/>
    </border>
    <border diagonalUp="false" diagonalDown="false">
      <left style="thin">
        <color rgb="FF737373"/>
      </left>
      <right style="medium">
        <color rgb="FF0070C0"/>
      </right>
      <top style="medium">
        <color rgb="FF0070C0"/>
      </top>
      <bottom/>
      <diagonal/>
    </border>
    <border diagonalUp="false" diagonalDown="false">
      <left/>
      <right style="medium">
        <color rgb="FF0070C0"/>
      </right>
      <top style="thin">
        <color rgb="FF7F7F7F"/>
      </top>
      <bottom style="medium">
        <color rgb="FF0070C0"/>
      </bottom>
      <diagonal/>
    </border>
    <border diagonalUp="false" diagonalDown="false">
      <left/>
      <right/>
      <top style="medium">
        <color rgb="FF0070C0"/>
      </top>
      <bottom style="thin">
        <color rgb="FF7F7F7F"/>
      </bottom>
      <diagonal/>
    </border>
    <border diagonalUp="false" diagonalDown="false">
      <left/>
      <right/>
      <top/>
      <bottom style="thick">
        <color rgb="FF0070C0"/>
      </bottom>
      <diagonal/>
    </border>
    <border diagonalUp="false" diagonalDown="false">
      <left/>
      <right style="medium">
        <color rgb="FF0070C0"/>
      </right>
      <top/>
      <bottom style="medium">
        <color rgb="FF0070C0"/>
      </bottom>
      <diagonal/>
    </border>
    <border diagonalUp="false" diagonalDown="false">
      <left style="thin"/>
      <right style="thin"/>
      <top style="thin"/>
      <bottom/>
      <diagonal/>
    </border>
    <border diagonalUp="false" diagonalDown="false">
      <left style="thin"/>
      <right/>
      <top style="thin"/>
      <bottom style="medium"/>
      <diagonal/>
    </border>
    <border diagonalUp="false" diagonalDown="false">
      <left style="medium"/>
      <right style="thin"/>
      <top style="thin"/>
      <bottom style="medium"/>
      <diagonal/>
    </border>
    <border diagonalUp="false" diagonalDown="false">
      <left/>
      <right/>
      <top/>
      <bottom style="hair"/>
      <diagonal/>
    </border>
    <border diagonalUp="false" diagonalDown="false">
      <left style="hair"/>
      <right style="hair"/>
      <top style="hair"/>
      <bottom/>
      <diagonal/>
    </border>
    <border diagonalUp="false" diagonalDown="false">
      <left/>
      <right/>
      <top style="hair"/>
      <bottom/>
      <diagonal/>
    </border>
    <border diagonalUp="false" diagonalDown="false">
      <left/>
      <right style="hair"/>
      <top style="hair"/>
      <bottom/>
      <diagonal/>
    </border>
    <border diagonalUp="false" diagonalDown="false">
      <left style="hair"/>
      <right style="thick"/>
      <top/>
      <bottom/>
      <diagonal/>
    </border>
    <border diagonalUp="false" diagonalDown="false">
      <left/>
      <right/>
      <top style="hair"/>
      <bottom style="thick"/>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16"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false" applyAlignment="true" applyProtection="false">
      <alignment horizontal="general" vertical="bottom" textRotation="0" wrapText="false" indent="0" shrinkToFit="false"/>
    </xf>
    <xf numFmtId="164" fontId="47" fillId="3" borderId="0" applyFont="true" applyBorder="false" applyAlignment="true" applyProtection="false">
      <alignment horizontal="general" vertical="bottom" textRotation="0" wrapText="false" indent="0" shrinkToFit="false"/>
    </xf>
    <xf numFmtId="164" fontId="52" fillId="4" borderId="1" applyFont="true" applyBorder="true" applyAlignment="true" applyProtection="false">
      <alignment horizontal="general" vertical="bottom" textRotation="0" wrapText="false" indent="0" shrinkToFit="false"/>
    </xf>
  </cellStyleXfs>
  <cellXfs count="485">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19" applyFont="true" applyBorder="true" applyAlignment="true" applyProtection="tru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true">
      <alignment horizontal="general" vertical="bottom" textRotation="0" wrapText="false" indent="0" shrinkToFit="false"/>
      <protection locked="false" hidden="false"/>
    </xf>
    <xf numFmtId="164" fontId="6" fillId="5"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8" fillId="6" borderId="2" xfId="0" applyFont="true" applyBorder="true" applyAlignment="true" applyProtection="false">
      <alignment horizontal="general" vertical="top" textRotation="0" wrapText="true" indent="0" shrinkToFit="false"/>
      <protection locked="true" hidden="false"/>
    </xf>
    <xf numFmtId="164" fontId="8" fillId="6" borderId="3" xfId="0" applyFont="true" applyBorder="true" applyAlignment="true" applyProtection="false">
      <alignment horizontal="general" vertical="top"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7" xfId="0" applyFont="true" applyBorder="true" applyAlignment="false" applyProtection="false">
      <alignment horizontal="general"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4" fontId="11" fillId="0" borderId="9" xfId="0" applyFont="true" applyBorder="true" applyAlignment="false" applyProtection="false">
      <alignment horizontal="general"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64" fontId="5" fillId="0" borderId="11" xfId="0" applyFont="true" applyBorder="true" applyAlignment="false" applyProtection="false">
      <alignment horizontal="general" vertical="bottom" textRotation="0" wrapText="false" indent="0" shrinkToFit="false"/>
      <protection locked="true" hidden="false"/>
    </xf>
    <xf numFmtId="164" fontId="9" fillId="6" borderId="12" xfId="0" applyFont="true" applyBorder="true" applyAlignment="true" applyProtection="false">
      <alignment horizontal="general" vertical="top" textRotation="0" wrapText="true" indent="0" shrinkToFit="false"/>
      <protection locked="true" hidden="false"/>
    </xf>
    <xf numFmtId="164" fontId="5" fillId="0" borderId="13" xfId="0" applyFont="true" applyBorder="true" applyAlignment="false" applyProtection="false">
      <alignment horizontal="general" vertical="bottom" textRotation="0" wrapText="false" indent="0" shrinkToFit="false"/>
      <protection locked="true" hidden="false"/>
    </xf>
    <xf numFmtId="164" fontId="5" fillId="0" borderId="14" xfId="0" applyFont="true" applyBorder="true" applyAlignment="false" applyProtection="false">
      <alignment horizontal="general" vertical="bottom" textRotation="0" wrapText="false" indent="0" shrinkToFit="false"/>
      <protection locked="true" hidden="false"/>
    </xf>
    <xf numFmtId="164" fontId="12" fillId="7" borderId="15" xfId="0" applyFont="true" applyBorder="true" applyAlignment="false" applyProtection="false">
      <alignment horizontal="general" vertical="bottom" textRotation="0" wrapText="false" indent="0" shrinkToFit="false"/>
      <protection locked="true" hidden="false"/>
    </xf>
    <xf numFmtId="164" fontId="13" fillId="0" borderId="16" xfId="0" applyFont="true" applyBorder="true" applyAlignment="true" applyProtection="true">
      <alignment horizontal="center" vertical="bottom" textRotation="0" wrapText="false" indent="0" shrinkToFit="false"/>
      <protection locked="false" hidden="false"/>
    </xf>
    <xf numFmtId="165" fontId="5" fillId="2" borderId="16" xfId="22" applyFont="true" applyBorder="true" applyAlignment="true" applyProtection="true">
      <alignment horizontal="center" vertical="bottom" textRotation="0" wrapText="false" indent="0" shrinkToFit="false"/>
      <protection locked="false" hidden="false"/>
    </xf>
    <xf numFmtId="164" fontId="12" fillId="0" borderId="17" xfId="0" applyFont="true" applyBorder="true" applyAlignment="false" applyProtection="false">
      <alignment horizontal="general" vertical="bottom" textRotation="0" wrapText="false" indent="0" shrinkToFit="false"/>
      <protection locked="true" hidden="false"/>
    </xf>
    <xf numFmtId="164" fontId="13" fillId="0" borderId="18" xfId="0" applyFont="true" applyBorder="true" applyAlignment="true" applyProtection="true">
      <alignment horizontal="center" vertical="bottom" textRotation="0" wrapText="false" indent="0" shrinkToFit="false"/>
      <protection locked="fals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3" fillId="0" borderId="16" xfId="0" applyFont="true" applyBorder="true" applyAlignment="true" applyProtection="true">
      <alignment horizontal="left" vertical="bottom" textRotation="0" wrapText="false" indent="0" shrinkToFit="false"/>
      <protection locked="false" hidden="false"/>
    </xf>
    <xf numFmtId="164" fontId="5" fillId="0" borderId="19" xfId="0" applyFont="true" applyBorder="true" applyAlignment="false" applyProtection="false">
      <alignment horizontal="general" vertical="bottom" textRotation="0" wrapText="false" indent="0" shrinkToFit="false"/>
      <protection locked="true" hidden="false"/>
    </xf>
    <xf numFmtId="164" fontId="5" fillId="0" borderId="20" xfId="0" applyFont="true" applyBorder="true" applyAlignment="false" applyProtection="false">
      <alignment horizontal="general" vertical="bottom" textRotation="0" wrapText="false" indent="0" shrinkToFit="false"/>
      <protection locked="true" hidden="false"/>
    </xf>
    <xf numFmtId="164" fontId="5" fillId="0" borderId="21" xfId="0" applyFont="true" applyBorder="true" applyAlignment="false" applyProtection="false">
      <alignment horizontal="general" vertical="bottom" textRotation="0" wrapText="false" indent="0" shrinkToFit="false"/>
      <protection locked="true" hidden="false"/>
    </xf>
    <xf numFmtId="164" fontId="9" fillId="6" borderId="7" xfId="0" applyFont="true" applyBorder="true" applyAlignment="false" applyProtection="false">
      <alignment horizontal="general" vertical="bottom" textRotation="0" wrapText="false" indent="0" shrinkToFit="false"/>
      <protection locked="true" hidden="false"/>
    </xf>
    <xf numFmtId="164" fontId="5" fillId="6" borderId="0" xfId="0" applyFont="true" applyBorder="false" applyAlignment="false" applyProtection="false">
      <alignment horizontal="general" vertical="bottom" textRotation="0" wrapText="false" indent="0" shrinkToFit="false"/>
      <protection locked="true" hidden="false"/>
    </xf>
    <xf numFmtId="164" fontId="10" fillId="6" borderId="8" xfId="0" applyFont="true" applyBorder="true" applyAlignment="true" applyProtection="false">
      <alignment horizontal="left" vertical="center" textRotation="0" wrapText="false" indent="0" shrinkToFit="false"/>
      <protection locked="true" hidden="false"/>
    </xf>
    <xf numFmtId="164" fontId="15" fillId="6" borderId="7" xfId="20" applyFont="true" applyBorder="true" applyAlignment="true" applyProtection="true">
      <alignment horizontal="left" vertical="center" textRotation="0" wrapText="false" indent="0" shrinkToFit="false"/>
      <protection locked="true" hidden="false"/>
    </xf>
    <xf numFmtId="164" fontId="8" fillId="0" borderId="13" xfId="0" applyFont="true" applyBorder="true" applyAlignment="false" applyProtection="false">
      <alignment horizontal="general" vertical="bottom" textRotation="0" wrapText="false" indent="0" shrinkToFit="false"/>
      <protection locked="true" hidden="false"/>
    </xf>
    <xf numFmtId="165" fontId="17" fillId="7" borderId="16" xfId="0" applyFont="true" applyBorder="true" applyAlignment="true" applyProtection="false">
      <alignment horizontal="center" vertical="bottom" textRotation="0" wrapText="false" indent="0" shrinkToFit="false"/>
      <protection locked="true" hidden="false"/>
    </xf>
    <xf numFmtId="164" fontId="5" fillId="6" borderId="12" xfId="0" applyFont="true" applyBorder="true" applyAlignment="true" applyProtection="false">
      <alignment horizontal="left" vertical="top" textRotation="0" wrapText="tru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4" fontId="17" fillId="0" borderId="14" xfId="0" applyFont="true" applyBorder="true" applyAlignment="true" applyProtection="false">
      <alignment horizontal="center" vertical="bottom" textRotation="0" wrapText="false" indent="0" shrinkToFit="false"/>
      <protection locked="true" hidden="false"/>
    </xf>
    <xf numFmtId="164" fontId="5" fillId="0" borderId="13" xfId="0" applyFont="true" applyBorder="true" applyAlignment="false" applyProtection="true">
      <alignment horizontal="general" vertical="bottom" textRotation="0" wrapText="false" indent="0" shrinkToFit="false"/>
      <protection locked="false" hidden="false"/>
    </xf>
    <xf numFmtId="165" fontId="18" fillId="7" borderId="16" xfId="0" applyFont="true" applyBorder="true" applyAlignment="true" applyProtection="false">
      <alignment horizontal="center" vertical="bottom" textRotation="0" wrapText="false" indent="0" shrinkToFit="false"/>
      <protection locked="true" hidden="false"/>
    </xf>
    <xf numFmtId="165" fontId="18" fillId="7" borderId="22" xfId="0" applyFont="true" applyBorder="true" applyAlignment="true" applyProtection="false">
      <alignment horizontal="center" vertical="bottom" textRotation="0" wrapText="false" indent="0" shrinkToFit="false"/>
      <protection locked="true" hidden="false"/>
    </xf>
    <xf numFmtId="164" fontId="18" fillId="7" borderId="15" xfId="0" applyFont="true" applyBorder="true" applyAlignment="true" applyProtection="false">
      <alignment horizontal="general" vertical="bottom" textRotation="0" wrapText="true" indent="0" shrinkToFit="false"/>
      <protection locked="true" hidden="false"/>
    </xf>
    <xf numFmtId="164" fontId="18" fillId="7" borderId="16" xfId="0" applyFont="true" applyBorder="true" applyAlignment="true" applyProtection="false">
      <alignment horizontal="general" vertical="bottom" textRotation="0" wrapText="true" indent="0" shrinkToFit="false"/>
      <protection locked="true" hidden="false"/>
    </xf>
    <xf numFmtId="164" fontId="15" fillId="7" borderId="16" xfId="20" applyFont="true" applyBorder="true" applyAlignment="true" applyProtection="true">
      <alignment horizontal="left" vertical="bottom" textRotation="0" wrapText="true" indent="0" shrinkToFit="false"/>
      <protection locked="true" hidden="false"/>
    </xf>
    <xf numFmtId="164" fontId="18" fillId="7" borderId="16" xfId="0" applyFont="true" applyBorder="true" applyAlignment="true" applyProtection="false">
      <alignment horizontal="right" vertical="bottom" textRotation="0" wrapText="false" indent="0" shrinkToFit="false"/>
      <protection locked="true" hidden="false"/>
    </xf>
    <xf numFmtId="164" fontId="13" fillId="0" borderId="15" xfId="0" applyFont="true" applyBorder="true" applyAlignment="true" applyProtection="true">
      <alignment horizontal="left" vertical="bottom" textRotation="0" wrapText="false" indent="0" shrinkToFit="false"/>
      <protection locked="false" hidden="false"/>
    </xf>
    <xf numFmtId="169" fontId="5" fillId="6" borderId="16" xfId="22" applyFont="true" applyBorder="true" applyAlignment="true" applyProtection="true">
      <alignment horizontal="general" vertical="bottom" textRotation="0" wrapText="false" indent="0" shrinkToFit="false"/>
      <protection locked="false" hidden="false"/>
    </xf>
    <xf numFmtId="169" fontId="13" fillId="0" borderId="16" xfId="0" applyFont="true" applyBorder="true" applyAlignment="true" applyProtection="true">
      <alignment horizontal="right" vertical="bottom" textRotation="0" wrapText="false" indent="0" shrinkToFit="false"/>
      <protection locked="false" hidden="false"/>
    </xf>
    <xf numFmtId="166" fontId="13" fillId="0" borderId="16" xfId="19" applyFont="true" applyBorder="true" applyAlignment="true" applyProtection="true">
      <alignment horizontal="right" vertical="bottom" textRotation="0" wrapText="false" indent="0" shrinkToFit="false"/>
      <protection locked="false" hidden="false"/>
    </xf>
    <xf numFmtId="169" fontId="13" fillId="8" borderId="15" xfId="22" applyFont="true" applyBorder="true" applyAlignment="true" applyProtection="true">
      <alignment horizontal="general" vertical="bottom" textRotation="0" wrapText="false" indent="0" shrinkToFit="false"/>
      <protection locked="true" hidden="false"/>
    </xf>
    <xf numFmtId="164" fontId="19" fillId="8" borderId="16" xfId="0" applyFont="true" applyBorder="true" applyAlignment="false" applyProtection="false">
      <alignment horizontal="general" vertical="bottom" textRotation="0" wrapText="false" indent="0" shrinkToFit="false"/>
      <protection locked="true" hidden="false"/>
    </xf>
    <xf numFmtId="169" fontId="13" fillId="8" borderId="16" xfId="22" applyFont="true" applyBorder="true" applyAlignment="true" applyProtection="true">
      <alignment horizontal="right" vertical="bottom" textRotation="0" wrapText="false" indent="0" shrinkToFit="false"/>
      <protection locked="true" hidden="false"/>
    </xf>
    <xf numFmtId="169" fontId="13" fillId="8" borderId="16" xfId="22" applyFont="true" applyBorder="true" applyAlignment="true" applyProtection="true">
      <alignment horizontal="general" vertical="bottom" textRotation="0" wrapText="false" indent="0" shrinkToFit="false"/>
      <protection locked="true" hidden="false"/>
    </xf>
    <xf numFmtId="169" fontId="13" fillId="8" borderId="22" xfId="22" applyFont="true" applyBorder="true" applyAlignment="true" applyProtection="true">
      <alignment horizontal="general" vertical="bottom" textRotation="0" wrapText="false" indent="0" shrinkToFit="false"/>
      <protection locked="true" hidden="false"/>
    </xf>
    <xf numFmtId="164" fontId="12" fillId="7" borderId="15" xfId="0" applyFont="true" applyBorder="true" applyAlignment="true" applyProtection="false">
      <alignment horizontal="left" vertical="center" textRotation="0" wrapText="false" indent="0" shrinkToFit="false"/>
      <protection locked="true" hidden="false"/>
    </xf>
    <xf numFmtId="167" fontId="5" fillId="2" borderId="16" xfId="19" applyFont="true" applyBorder="true" applyAlignment="true" applyProtection="true">
      <alignment horizontal="general" vertical="bottom" textRotation="0" wrapText="false" indent="0" shrinkToFit="false"/>
      <protection locked="true" hidden="false"/>
    </xf>
    <xf numFmtId="164" fontId="5" fillId="0" borderId="16" xfId="0" applyFont="true" applyBorder="true" applyAlignment="false" applyProtection="false">
      <alignment horizontal="general" vertical="bottom" textRotation="0" wrapText="false" indent="0" shrinkToFit="false"/>
      <protection locked="true" hidden="false"/>
    </xf>
    <xf numFmtId="167" fontId="13" fillId="8" borderId="16" xfId="19" applyFont="true" applyBorder="true" applyAlignment="true" applyProtection="true">
      <alignment horizontal="right" vertical="bottom" textRotation="0" wrapText="false" indent="0" shrinkToFit="false"/>
      <protection locked="true" hidden="false"/>
    </xf>
    <xf numFmtId="164" fontId="7" fillId="9" borderId="15" xfId="0" applyFont="true" applyBorder="true" applyAlignment="true" applyProtection="false">
      <alignment horizontal="left" vertical="bottom" textRotation="0" wrapText="false" indent="0" shrinkToFit="false"/>
      <protection locked="true" hidden="false"/>
    </xf>
    <xf numFmtId="169" fontId="7" fillId="9" borderId="16" xfId="22" applyFont="true" applyBorder="true" applyAlignment="true" applyProtection="true">
      <alignment horizontal="general" vertical="bottom" textRotation="0" wrapText="false" indent="0" shrinkToFit="false"/>
      <protection locked="true" hidden="false"/>
    </xf>
    <xf numFmtId="169" fontId="7" fillId="9" borderId="22" xfId="22" applyFont="true" applyBorder="true" applyAlignment="true" applyProtection="true">
      <alignment horizontal="general" vertical="bottom" textRotation="0" wrapText="false" indent="0" shrinkToFit="false"/>
      <protection locked="true" hidden="false"/>
    </xf>
    <xf numFmtId="164" fontId="5" fillId="6" borderId="7" xfId="0" applyFont="true" applyBorder="true" applyAlignment="true" applyProtection="false">
      <alignment horizontal="general" vertical="top" textRotation="0" wrapText="false" indent="0" shrinkToFit="false"/>
      <protection locked="true" hidden="false"/>
    </xf>
    <xf numFmtId="164" fontId="5" fillId="6" borderId="0" xfId="0" applyFont="true" applyBorder="false" applyAlignment="true" applyProtection="false">
      <alignment horizontal="general" vertical="top" textRotation="0" wrapText="false" indent="0" shrinkToFit="false"/>
      <protection locked="true" hidden="false"/>
    </xf>
    <xf numFmtId="164" fontId="5" fillId="6" borderId="8" xfId="0" applyFont="true" applyBorder="true" applyAlignment="true" applyProtection="false">
      <alignment horizontal="general" vertical="top" textRotation="0" wrapText="false" indent="0" shrinkToFit="false"/>
      <protection locked="true" hidden="false"/>
    </xf>
    <xf numFmtId="164" fontId="20" fillId="0" borderId="13" xfId="0" applyFont="true" applyBorder="true" applyAlignment="true" applyProtection="true">
      <alignment horizontal="left" vertical="bottom" textRotation="0" wrapText="false" indent="0" shrinkToFit="false"/>
      <protection locked="false" hidden="false"/>
    </xf>
    <xf numFmtId="164" fontId="10" fillId="0" borderId="13" xfId="0" applyFont="true" applyBorder="true" applyAlignment="false" applyProtection="true">
      <alignment horizontal="general" vertical="bottom" textRotation="0" wrapText="false" indent="0" shrinkToFit="false"/>
      <protection locked="false" hidden="false"/>
    </xf>
    <xf numFmtId="164" fontId="10" fillId="0" borderId="0" xfId="0" applyFont="true" applyBorder="false" applyAlignment="false" applyProtection="true">
      <alignment horizontal="general" vertical="bottom" textRotation="0" wrapText="false" indent="0" shrinkToFit="false"/>
      <protection locked="false" hidden="false"/>
    </xf>
    <xf numFmtId="164" fontId="18" fillId="7" borderId="22" xfId="0" applyFont="true" applyBorder="true" applyAlignment="true" applyProtection="false">
      <alignment horizontal="right" vertical="bottom" textRotation="0" wrapText="false" indent="0" shrinkToFit="false"/>
      <protection locked="true" hidden="false"/>
    </xf>
    <xf numFmtId="169" fontId="5" fillId="6" borderId="22" xfId="22" applyFont="true" applyBorder="true" applyAlignment="true" applyProtection="true">
      <alignment horizontal="general" vertical="bottom" textRotation="0" wrapText="false" indent="0" shrinkToFit="false"/>
      <protection locked="false" hidden="false"/>
    </xf>
    <xf numFmtId="164" fontId="9" fillId="6" borderId="12" xfId="0" applyFont="true" applyBorder="true" applyAlignment="true" applyProtection="false">
      <alignment horizontal="left" vertical="top" textRotation="0" wrapText="true" indent="0" shrinkToFit="false"/>
      <protection locked="true" hidden="false"/>
    </xf>
    <xf numFmtId="165" fontId="12" fillId="7" borderId="16" xfId="0" applyFont="true" applyBorder="true" applyAlignment="true" applyProtection="false">
      <alignment horizontal="center" vertical="bottom" textRotation="0" wrapText="false" indent="0" shrinkToFit="false"/>
      <protection locked="true" hidden="false"/>
    </xf>
    <xf numFmtId="165" fontId="12" fillId="7" borderId="22" xfId="0" applyFont="true" applyBorder="true" applyAlignment="true" applyProtection="false">
      <alignment horizontal="center" vertical="bottom" textRotation="0" wrapText="false" indent="0" shrinkToFit="false"/>
      <protection locked="true" hidden="false"/>
    </xf>
    <xf numFmtId="164" fontId="13" fillId="0" borderId="16" xfId="0" applyFont="true" applyBorder="true" applyAlignment="true" applyProtection="true">
      <alignment horizontal="right" vertical="bottom" textRotation="0" wrapText="false" indent="0" shrinkToFit="false"/>
      <protection locked="false" hidden="false"/>
    </xf>
    <xf numFmtId="170" fontId="5" fillId="0" borderId="0" xfId="0" applyFont="true" applyBorder="false" applyAlignment="false" applyProtection="false">
      <alignment horizontal="general" vertical="bottom" textRotation="0" wrapText="false" indent="0" shrinkToFit="false"/>
      <protection locked="true" hidden="false"/>
    </xf>
    <xf numFmtId="164" fontId="12" fillId="7" borderId="15" xfId="0" applyFont="true" applyBorder="true" applyAlignment="true" applyProtection="false">
      <alignment horizontal="general" vertical="bottom" textRotation="0" wrapText="true" indent="0" shrinkToFit="false"/>
      <protection locked="true" hidden="false"/>
    </xf>
    <xf numFmtId="164" fontId="13" fillId="0" borderId="13" xfId="0" applyFont="true" applyBorder="tru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right" vertical="bottom" textRotation="0" wrapText="false" indent="0" shrinkToFit="false"/>
      <protection locked="false" hidden="false"/>
    </xf>
    <xf numFmtId="164" fontId="12" fillId="7" borderId="16" xfId="0" applyFont="true" applyBorder="true" applyAlignment="true" applyProtection="false">
      <alignment horizontal="general" vertical="bottom" textRotation="0" wrapText="true" indent="0" shrinkToFit="false"/>
      <protection locked="true" hidden="false"/>
    </xf>
    <xf numFmtId="170" fontId="7" fillId="9" borderId="17" xfId="22" applyFont="true" applyBorder="true" applyAlignment="true" applyProtection="true">
      <alignment horizontal="general" vertical="bottom" textRotation="0" wrapText="true" indent="0" shrinkToFit="false"/>
      <protection locked="true" hidden="false"/>
    </xf>
    <xf numFmtId="170" fontId="7" fillId="9" borderId="18" xfId="22" applyFont="true" applyBorder="true" applyAlignment="true" applyProtection="true">
      <alignment horizontal="general" vertical="bottom" textRotation="0" wrapText="false" indent="0" shrinkToFit="false"/>
      <protection locked="true" hidden="false"/>
    </xf>
    <xf numFmtId="170" fontId="7" fillId="9" borderId="23" xfId="22" applyFont="true" applyBorder="true" applyAlignment="true" applyProtection="true">
      <alignment horizontal="general" vertical="bottom" textRotation="0" wrapText="false" indent="0" shrinkToFit="false"/>
      <protection locked="true" hidden="false"/>
    </xf>
    <xf numFmtId="165" fontId="12" fillId="7" borderId="15" xfId="0" applyFont="true" applyBorder="true" applyAlignment="true" applyProtection="false">
      <alignment horizontal="left" vertical="bottom" textRotation="0" wrapText="false" indent="0" shrinkToFit="false"/>
      <protection locked="true" hidden="false"/>
    </xf>
    <xf numFmtId="167" fontId="5" fillId="6" borderId="16" xfId="19" applyFont="true" applyBorder="true" applyAlignment="true" applyProtection="true">
      <alignment horizontal="general" vertical="bottom" textRotation="0" wrapText="false" indent="0" shrinkToFit="false"/>
      <protection locked="true" hidden="false"/>
    </xf>
    <xf numFmtId="164" fontId="5" fillId="0" borderId="14" xfId="0" applyFont="true" applyBorder="true" applyAlignment="false" applyProtection="true">
      <alignment horizontal="general" vertical="bottom" textRotation="0" wrapText="false" indent="0" shrinkToFit="false"/>
      <protection locked="false" hidden="false"/>
    </xf>
    <xf numFmtId="167" fontId="5" fillId="0" borderId="16" xfId="19" applyFont="true" applyBorder="true" applyAlignment="true" applyProtection="true">
      <alignment horizontal="general" vertical="bottom" textRotation="0" wrapText="false" indent="0" shrinkToFit="false"/>
      <protection locked="true" hidden="false"/>
    </xf>
    <xf numFmtId="167" fontId="22" fillId="8" borderId="16" xfId="19" applyFont="true" applyBorder="true" applyAlignment="true" applyProtection="true">
      <alignment horizontal="right" vertical="bottom" textRotation="0" wrapText="false" indent="0" shrinkToFit="false"/>
      <protection locked="true" hidden="false"/>
    </xf>
    <xf numFmtId="169" fontId="7" fillId="9" borderId="24" xfId="22" applyFont="true" applyBorder="true" applyAlignment="true" applyProtection="true">
      <alignment horizontal="general" vertical="bottom" textRotation="0" wrapText="false" indent="0" shrinkToFit="false"/>
      <protection locked="true" hidden="false"/>
    </xf>
    <xf numFmtId="169" fontId="7" fillId="9" borderId="25" xfId="22" applyFont="true" applyBorder="true" applyAlignment="true" applyProtection="true">
      <alignment horizontal="general" vertical="bottom" textRotation="0" wrapText="false" indent="0" shrinkToFit="false"/>
      <protection locked="true" hidden="false"/>
    </xf>
    <xf numFmtId="166" fontId="5" fillId="0" borderId="16" xfId="0" applyFont="true" applyBorder="true" applyAlignment="false" applyProtection="true">
      <alignment horizontal="general" vertical="bottom" textRotation="0" wrapText="false" indent="0" shrinkToFit="false"/>
      <protection locked="false" hidden="false"/>
    </xf>
    <xf numFmtId="169" fontId="9" fillId="0" borderId="14"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false" applyAlignment="false" applyProtection="true">
      <alignment horizontal="general" vertical="bottom" textRotation="0" wrapText="false" indent="0" shrinkToFit="false"/>
      <protection locked="false" hidden="false"/>
    </xf>
    <xf numFmtId="164" fontId="23" fillId="5" borderId="19" xfId="0" applyFont="true" applyBorder="true" applyAlignment="false" applyProtection="false">
      <alignment horizontal="general" vertical="bottom" textRotation="0" wrapText="false" indent="0" shrinkToFit="false"/>
      <protection locked="true" hidden="false"/>
    </xf>
    <xf numFmtId="164" fontId="23" fillId="5" borderId="20" xfId="0" applyFont="true" applyBorder="true" applyAlignment="false" applyProtection="false">
      <alignment horizontal="general" vertical="bottom" textRotation="0" wrapText="false" indent="0" shrinkToFit="false"/>
      <protection locked="true" hidden="false"/>
    </xf>
    <xf numFmtId="169" fontId="23" fillId="5" borderId="26" xfId="22" applyFont="true" applyBorder="true" applyAlignment="true" applyProtection="true">
      <alignment horizontal="general" vertical="bottom" textRotation="0" wrapText="false" indent="0" shrinkToFit="false"/>
      <protection locked="true" hidden="false"/>
    </xf>
    <xf numFmtId="164" fontId="22" fillId="6" borderId="27" xfId="0" applyFont="true" applyBorder="true" applyAlignment="true" applyProtection="false">
      <alignment horizontal="left" vertical="top" textRotation="0" wrapText="true" indent="0" shrinkToFit="false"/>
      <protection locked="true" hidden="false"/>
    </xf>
    <xf numFmtId="164" fontId="9" fillId="0" borderId="28" xfId="0" applyFont="true" applyBorder="true" applyAlignment="false" applyProtection="false">
      <alignment horizontal="general" vertical="bottom" textRotation="0" wrapText="false" indent="0" shrinkToFit="false"/>
      <protection locked="true" hidden="false"/>
    </xf>
    <xf numFmtId="164" fontId="5" fillId="0" borderId="29" xfId="0" applyFont="true" applyBorder="true" applyAlignment="false" applyProtection="false">
      <alignment horizontal="general" vertical="bottom" textRotation="0" wrapText="false" indent="0" shrinkToFit="false"/>
      <protection locked="true" hidden="false"/>
    </xf>
    <xf numFmtId="170" fontId="9" fillId="0" borderId="29" xfId="0" applyFont="true" applyBorder="true" applyAlignment="false" applyProtection="false">
      <alignment horizontal="general" vertical="bottom" textRotation="0" wrapText="false" indent="0" shrinkToFit="false"/>
      <protection locked="true" hidden="false"/>
    </xf>
    <xf numFmtId="169" fontId="7" fillId="9" borderId="30" xfId="22" applyFont="true" applyBorder="true" applyAlignment="true" applyProtection="true">
      <alignment horizontal="general" vertical="bottom" textRotation="0" wrapText="false" indent="0" shrinkToFit="false"/>
      <protection locked="true" hidden="false"/>
    </xf>
    <xf numFmtId="169" fontId="23" fillId="5" borderId="29" xfId="22" applyFont="true" applyBorder="true" applyAlignment="true" applyProtection="true">
      <alignment horizontal="general" vertical="bottom" textRotation="0" wrapText="false" indent="0" shrinkToFit="false"/>
      <protection locked="true" hidden="false"/>
    </xf>
    <xf numFmtId="164" fontId="9" fillId="0" borderId="13"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70" fontId="9" fillId="0" borderId="0" xfId="0" applyFont="true" applyBorder="false" applyAlignment="false" applyProtection="false">
      <alignment horizontal="general" vertical="bottom" textRotation="0" wrapText="false" indent="0" shrinkToFit="false"/>
      <protection locked="true" hidden="false"/>
    </xf>
    <xf numFmtId="164" fontId="5" fillId="0" borderId="19" xfId="0" applyFont="true" applyBorder="true" applyAlignment="false" applyProtection="true">
      <alignment horizontal="general" vertical="bottom" textRotation="0" wrapText="false" indent="0" shrinkToFit="false"/>
      <protection locked="false" hidden="false"/>
    </xf>
    <xf numFmtId="164" fontId="5" fillId="0" borderId="20" xfId="0" applyFont="true" applyBorder="true" applyAlignment="false" applyProtection="true">
      <alignment horizontal="general" vertical="bottom" textRotation="0" wrapText="false" indent="0" shrinkToFit="false"/>
      <protection locked="false" hidden="false"/>
    </xf>
    <xf numFmtId="164" fontId="5" fillId="0" borderId="21" xfId="0" applyFont="true" applyBorder="true" applyAlignment="false" applyProtection="true">
      <alignment horizontal="general" vertical="bottom" textRotation="0" wrapText="false" indent="0" shrinkToFit="false"/>
      <protection locked="false" hidden="false"/>
    </xf>
    <xf numFmtId="164" fontId="5" fillId="0" borderId="31" xfId="0" applyFont="true" applyBorder="true" applyAlignment="false" applyProtection="true">
      <alignment horizontal="general" vertical="bottom" textRotation="0" wrapText="false" indent="0" shrinkToFit="false"/>
      <protection locked="false" hidden="false"/>
    </xf>
    <xf numFmtId="164" fontId="5" fillId="0" borderId="31" xfId="0" applyFont="true" applyBorder="true" applyAlignment="true" applyProtection="true">
      <alignment horizontal="left" vertical="bottom" textRotation="0" wrapText="false" indent="0" shrinkToFit="false"/>
      <protection locked="false" hidden="false"/>
    </xf>
    <xf numFmtId="164" fontId="5" fillId="0" borderId="32" xfId="0" applyFont="true" applyBorder="true" applyAlignment="false" applyProtection="false">
      <alignment horizontal="general" vertical="bottom" textRotation="0" wrapText="false" indent="0" shrinkToFit="false"/>
      <protection locked="true" hidden="false"/>
    </xf>
    <xf numFmtId="164" fontId="5" fillId="0" borderId="33" xfId="0" applyFont="true" applyBorder="true" applyAlignment="false" applyProtection="false">
      <alignment horizontal="general" vertical="bottom" textRotation="0" wrapText="false" indent="0" shrinkToFit="false"/>
      <protection locked="true" hidden="false"/>
    </xf>
    <xf numFmtId="164" fontId="5" fillId="0" borderId="34" xfId="0" applyFont="true" applyBorder="true" applyAlignment="false" applyProtection="false">
      <alignment horizontal="general" vertical="bottom" textRotation="0" wrapText="false" indent="0" shrinkToFit="false"/>
      <protection locked="true" hidden="false"/>
    </xf>
    <xf numFmtId="164" fontId="21" fillId="6" borderId="3" xfId="0" applyFont="true" applyBorder="true" applyAlignment="true" applyProtection="false">
      <alignment horizontal="left" vertical="top" textRotation="0" wrapText="true" indent="0" shrinkToFit="false"/>
      <protection locked="true" hidden="false"/>
    </xf>
    <xf numFmtId="164" fontId="17" fillId="5" borderId="0" xfId="0" applyFont="true" applyBorder="false" applyAlignment="false" applyProtection="false">
      <alignment horizontal="general" vertical="bottom" textRotation="0" wrapText="false" indent="0" shrinkToFit="false"/>
      <protection locked="true" hidden="false"/>
    </xf>
    <xf numFmtId="164" fontId="12" fillId="5" borderId="0" xfId="0" applyFont="true" applyBorder="false" applyAlignment="false" applyProtection="false">
      <alignment horizontal="general" vertical="bottom" textRotation="0" wrapText="false" indent="0" shrinkToFit="false"/>
      <protection locked="true" hidden="false"/>
    </xf>
    <xf numFmtId="164" fontId="12" fillId="7" borderId="35" xfId="0" applyFont="true" applyBorder="true" applyAlignment="false" applyProtection="false">
      <alignment horizontal="general" vertical="bottom" textRotation="0" wrapText="false" indent="0" shrinkToFit="false"/>
      <protection locked="true" hidden="false"/>
    </xf>
    <xf numFmtId="164" fontId="12" fillId="7" borderId="23" xfId="0" applyFont="true" applyBorder="true" applyAlignment="false" applyProtection="false">
      <alignment horizontal="general" vertical="bottom" textRotation="0" wrapText="false" indent="0" shrinkToFit="false"/>
      <protection locked="true" hidden="false"/>
    </xf>
    <xf numFmtId="169" fontId="9" fillId="0" borderId="16" xfId="0" applyFont="true" applyBorder="true" applyAlignment="true" applyProtection="true">
      <alignment horizontal="right" vertical="bottom" textRotation="0" wrapText="false" indent="0" shrinkToFit="false"/>
      <protection locked="false" hidden="false"/>
    </xf>
    <xf numFmtId="169" fontId="5" fillId="6" borderId="16" xfId="22" applyFont="true" applyBorder="true" applyAlignment="true" applyProtection="true">
      <alignment horizontal="right" vertical="bottom" textRotation="0" wrapText="false" indent="0" shrinkToFit="false"/>
      <protection locked="true" hidden="false"/>
    </xf>
    <xf numFmtId="164" fontId="12" fillId="5" borderId="16" xfId="0" applyFont="true" applyBorder="true" applyAlignment="false" applyProtection="false">
      <alignment horizontal="general" vertical="bottom" textRotation="0" wrapText="false" indent="0" shrinkToFit="false"/>
      <protection locked="true" hidden="false"/>
    </xf>
    <xf numFmtId="169" fontId="12" fillId="5" borderId="16" xfId="22" applyFont="true" applyBorder="true" applyAlignment="true" applyProtection="true">
      <alignment horizontal="right" vertical="bottom" textRotation="0" wrapText="false" indent="0" shrinkToFit="false"/>
      <protection locked="true" hidden="false"/>
    </xf>
    <xf numFmtId="169" fontId="5" fillId="0" borderId="16" xfId="0" applyFont="true" applyBorder="true" applyAlignment="true" applyProtection="true">
      <alignment horizontal="right" vertical="bottom" textRotation="0" wrapText="false" indent="0" shrinkToFit="false"/>
      <protection locked="false" hidden="false"/>
    </xf>
    <xf numFmtId="169" fontId="13" fillId="8" borderId="16" xfId="22" applyFont="true" applyBorder="true" applyAlignment="true" applyProtection="true">
      <alignment horizontal="left" vertical="bottom" textRotation="0" wrapText="false" indent="0" shrinkToFit="false"/>
      <protection locked="true" hidden="false"/>
    </xf>
    <xf numFmtId="169" fontId="22" fillId="8" borderId="16" xfId="22" applyFont="true" applyBorder="true" applyAlignment="true" applyProtection="true">
      <alignment horizontal="right" vertical="bottom" textRotation="0" wrapText="false" indent="0" shrinkToFit="false"/>
      <protection locked="true" hidden="false"/>
    </xf>
    <xf numFmtId="165" fontId="13" fillId="0" borderId="0" xfId="0" applyFont="true" applyBorder="false" applyAlignment="false" applyProtection="false">
      <alignment horizontal="general" vertical="bottom" textRotation="0" wrapText="false" indent="0" shrinkToFit="false"/>
      <protection locked="true" hidden="false"/>
    </xf>
    <xf numFmtId="169" fontId="9" fillId="0" borderId="0" xfId="22" applyFont="true" applyBorder="true" applyAlignment="true" applyProtection="true">
      <alignment horizontal="general" vertical="bottom" textRotation="0" wrapText="false" indent="0" shrinkToFit="false"/>
      <protection locked="false" hidden="false"/>
    </xf>
    <xf numFmtId="170" fontId="9" fillId="0" borderId="0" xfId="22" applyFont="true" applyBorder="true" applyAlignment="true" applyProtection="true">
      <alignment horizontal="general" vertical="bottom" textRotation="0" wrapText="false" indent="0" shrinkToFit="false"/>
      <protection locked="fals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71" fontId="5"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72" fontId="0" fillId="0" borderId="0" xfId="0" applyFont="false" applyBorder="false" applyAlignment="false" applyProtection="true">
      <alignment horizontal="general" vertical="bottom" textRotation="0" wrapText="false" indent="0" shrinkToFit="false"/>
      <protection locked="false" hidden="false"/>
    </xf>
    <xf numFmtId="172" fontId="6" fillId="5" borderId="0" xfId="0" applyFont="true" applyBorder="false" applyAlignment="false" applyProtection="false">
      <alignment horizontal="general" vertical="bottom" textRotation="0" wrapText="false" indent="0" shrinkToFit="false"/>
      <protection locked="true" hidden="false"/>
    </xf>
    <xf numFmtId="164" fontId="8" fillId="0" borderId="3" xfId="0" applyFont="true" applyBorder="true" applyAlignment="true" applyProtection="false">
      <alignment horizontal="general" vertical="center" textRotation="0" wrapText="true" indent="0" shrinkToFit="false"/>
      <protection locked="true" hidden="false"/>
    </xf>
    <xf numFmtId="172" fontId="0" fillId="0" borderId="0" xfId="0" applyFont="false" applyBorder="false" applyAlignment="true" applyProtection="false">
      <alignment horizontal="general" vertical="bottom" textRotation="0" wrapText="true" indent="0" shrinkToFit="false"/>
      <protection locked="true" hidden="false"/>
    </xf>
    <xf numFmtId="164" fontId="0" fillId="0" borderId="4" xfId="0" applyFont="false" applyBorder="true" applyAlignment="false" applyProtection="true">
      <alignment horizontal="general" vertical="bottom" textRotation="0" wrapText="false" indent="0" shrinkToFit="false"/>
      <protection locked="false" hidden="false"/>
    </xf>
    <xf numFmtId="164" fontId="0" fillId="0" borderId="5" xfId="0" applyFont="false" applyBorder="true" applyAlignment="true" applyProtection="false">
      <alignment horizontal="general" vertical="bottom" textRotation="0" wrapText="true" indent="0" shrinkToFit="false"/>
      <protection locked="true" hidden="false"/>
    </xf>
    <xf numFmtId="172" fontId="0" fillId="0" borderId="5" xfId="0" applyFont="false" applyBorder="true" applyAlignment="true" applyProtection="false">
      <alignment horizontal="general" vertical="bottom" textRotation="0" wrapText="true" indent="0" shrinkToFit="false"/>
      <protection locked="true" hidden="false"/>
    </xf>
    <xf numFmtId="172" fontId="0" fillId="0" borderId="6" xfId="0" applyFont="false" applyBorder="true" applyAlignment="false" applyProtection="true">
      <alignment horizontal="general" vertical="bottom" textRotation="0" wrapText="false" indent="0" shrinkToFit="false"/>
      <protection locked="false" hidden="false"/>
    </xf>
    <xf numFmtId="164" fontId="0" fillId="0" borderId="7" xfId="0" applyFont="false" applyBorder="true" applyAlignment="false" applyProtection="true">
      <alignment horizontal="general" vertical="bottom" textRotation="0" wrapText="false" indent="0" shrinkToFit="false"/>
      <protection locked="false" hidden="false"/>
    </xf>
    <xf numFmtId="172" fontId="17" fillId="5" borderId="0" xfId="0" applyFont="true" applyBorder="false" applyAlignment="false" applyProtection="false">
      <alignment horizontal="general" vertical="bottom" textRotation="0" wrapText="false" indent="0" shrinkToFit="false"/>
      <protection locked="true" hidden="false"/>
    </xf>
    <xf numFmtId="172" fontId="0" fillId="0" borderId="8" xfId="0" applyFont="false" applyBorder="true" applyAlignment="false" applyProtection="true">
      <alignment horizontal="general" vertical="bottom" textRotation="0" wrapText="false" indent="0" shrinkToFit="false"/>
      <protection locked="false" hidden="false"/>
    </xf>
    <xf numFmtId="164" fontId="9" fillId="10" borderId="36" xfId="0" applyFont="true" applyBorder="true" applyAlignment="false" applyProtection="false">
      <alignment horizontal="general" vertical="bottom" textRotation="0" wrapText="false" indent="0" shrinkToFit="false"/>
      <protection locked="true" hidden="false"/>
    </xf>
    <xf numFmtId="164" fontId="9" fillId="10" borderId="37" xfId="0" applyFont="true" applyBorder="true" applyAlignment="false" applyProtection="false">
      <alignment horizontal="general" vertical="bottom" textRotation="0" wrapText="false" indent="0" shrinkToFit="false"/>
      <protection locked="true" hidden="false"/>
    </xf>
    <xf numFmtId="164" fontId="9" fillId="10" borderId="37" xfId="0" applyFont="true" applyBorder="true" applyAlignment="false" applyProtection="true">
      <alignment horizontal="general" vertical="bottom" textRotation="0" wrapText="false" indent="0" shrinkToFit="false"/>
      <protection locked="false" hidden="false"/>
    </xf>
    <xf numFmtId="169" fontId="9" fillId="10" borderId="38" xfId="0" applyFont="true" applyBorder="true" applyAlignment="false" applyProtection="true">
      <alignment horizontal="general" vertical="bottom" textRotation="0" wrapText="false" indent="0" shrinkToFit="false"/>
      <protection locked="false" hidden="false"/>
    </xf>
    <xf numFmtId="164" fontId="5" fillId="10" borderId="39" xfId="0" applyFont="true" applyBorder="true" applyAlignment="false" applyProtection="false">
      <alignment horizontal="general" vertical="bottom" textRotation="0" wrapText="false" indent="0" shrinkToFit="false"/>
      <protection locked="true" hidden="false"/>
    </xf>
    <xf numFmtId="165" fontId="5" fillId="10" borderId="0" xfId="0" applyFont="true" applyBorder="false" applyAlignment="false" applyProtection="false">
      <alignment horizontal="general" vertical="bottom" textRotation="0" wrapText="false" indent="0" shrinkToFit="false"/>
      <protection locked="true" hidden="false"/>
    </xf>
    <xf numFmtId="165" fontId="5" fillId="10" borderId="0" xfId="0" applyFont="true" applyBorder="false" applyAlignment="false" applyProtection="true">
      <alignment horizontal="general" vertical="bottom" textRotation="0" wrapText="false" indent="0" shrinkToFit="false"/>
      <protection locked="false" hidden="false"/>
    </xf>
    <xf numFmtId="169" fontId="5" fillId="10" borderId="40" xfId="0" applyFont="true" applyBorder="true" applyAlignment="false" applyProtection="true">
      <alignment horizontal="general" vertical="bottom" textRotation="0" wrapText="false" indent="0" shrinkToFit="false"/>
      <protection locked="false" hidden="false"/>
    </xf>
    <xf numFmtId="164" fontId="5" fillId="10" borderId="41" xfId="0" applyFont="true" applyBorder="true" applyAlignment="false" applyProtection="false">
      <alignment horizontal="general" vertical="bottom" textRotation="0" wrapText="false" indent="0" shrinkToFit="false"/>
      <protection locked="true" hidden="false"/>
    </xf>
    <xf numFmtId="165" fontId="5" fillId="10" borderId="29" xfId="0" applyFont="true" applyBorder="true" applyAlignment="false" applyProtection="false">
      <alignment horizontal="general" vertical="bottom" textRotation="0" wrapText="false" indent="0" shrinkToFit="false"/>
      <protection locked="true" hidden="false"/>
    </xf>
    <xf numFmtId="169" fontId="5" fillId="10" borderId="42" xfId="0" applyFont="true" applyBorder="true" applyAlignment="false" applyProtection="true">
      <alignment horizontal="general" vertical="bottom" textRotation="0" wrapText="false" indent="0" shrinkToFit="false"/>
      <protection locked="false" hidden="false"/>
    </xf>
    <xf numFmtId="165" fontId="5" fillId="10" borderId="29" xfId="0" applyFont="true" applyBorder="true" applyAlignment="false" applyProtection="true">
      <alignment horizontal="general" vertical="bottom" textRotation="0" wrapText="false" indent="0" shrinkToFit="false"/>
      <protection locked="false" hidden="false"/>
    </xf>
    <xf numFmtId="169" fontId="5" fillId="0" borderId="0" xfId="0" applyFont="true" applyBorder="false" applyAlignment="false" applyProtection="true">
      <alignment horizontal="general" vertical="bottom" textRotation="0" wrapText="false" indent="0" shrinkToFit="false"/>
      <protection locked="false" hidden="false"/>
    </xf>
    <xf numFmtId="170" fontId="5" fillId="10" borderId="40" xfId="0" applyFont="true" applyBorder="true" applyAlignment="false" applyProtection="true">
      <alignment horizontal="general" vertical="bottom" textRotation="0" wrapText="false" indent="0" shrinkToFit="false"/>
      <protection locked="false" hidden="false"/>
    </xf>
    <xf numFmtId="165" fontId="5" fillId="10" borderId="43" xfId="0" applyFont="true" applyBorder="true" applyAlignment="false" applyProtection="true">
      <alignment horizontal="general" vertical="bottom" textRotation="0" wrapText="false" indent="0" shrinkToFit="false"/>
      <protection locked="false" hidden="false"/>
    </xf>
    <xf numFmtId="165" fontId="5" fillId="10" borderId="44" xfId="0" applyFont="true" applyBorder="true" applyAlignment="false" applyProtection="false">
      <alignment horizontal="general" vertical="bottom" textRotation="0" wrapText="false" indent="0" shrinkToFit="false"/>
      <protection locked="true" hidden="false"/>
    </xf>
    <xf numFmtId="170" fontId="5" fillId="10" borderId="44" xfId="0" applyFont="true" applyBorder="true" applyAlignment="false" applyProtection="true">
      <alignment horizontal="general" vertical="bottom" textRotation="0" wrapText="false" indent="0" shrinkToFit="false"/>
      <protection locked="false" hidden="false"/>
    </xf>
    <xf numFmtId="169" fontId="5" fillId="10" borderId="44" xfId="0" applyFont="true" applyBorder="true" applyAlignment="false" applyProtection="true">
      <alignment horizontal="general" vertical="bottom" textRotation="0" wrapText="false" indent="0" shrinkToFit="false"/>
      <protection locked="false" hidden="false"/>
    </xf>
    <xf numFmtId="165" fontId="5" fillId="10" borderId="45" xfId="0" applyFont="true" applyBorder="true" applyAlignment="false" applyProtection="true">
      <alignment horizontal="general" vertical="bottom" textRotation="0" wrapText="false" indent="0" shrinkToFit="false"/>
      <protection locked="false" hidden="false"/>
    </xf>
    <xf numFmtId="165" fontId="5" fillId="10" borderId="46" xfId="0" applyFont="true" applyBorder="true" applyAlignment="false" applyProtection="false">
      <alignment horizontal="general" vertical="bottom" textRotation="0" wrapText="false" indent="0" shrinkToFit="false"/>
      <protection locked="true" hidden="false"/>
    </xf>
    <xf numFmtId="164" fontId="0" fillId="0" borderId="32" xfId="0" applyFont="false" applyBorder="true" applyAlignment="false" applyProtection="true">
      <alignment horizontal="general" vertical="bottom" textRotation="0" wrapText="false" indent="0" shrinkToFit="false"/>
      <protection locked="false" hidden="false"/>
    </xf>
    <xf numFmtId="164" fontId="5" fillId="0" borderId="33" xfId="0" applyFont="true" applyBorder="true" applyAlignment="false" applyProtection="true">
      <alignment horizontal="general" vertical="bottom" textRotation="0" wrapText="false" indent="0" shrinkToFit="false"/>
      <protection locked="false" hidden="false"/>
    </xf>
    <xf numFmtId="172" fontId="5" fillId="0" borderId="33" xfId="0" applyFont="true" applyBorder="true" applyAlignment="false" applyProtection="true">
      <alignment horizontal="general" vertical="bottom" textRotation="0" wrapText="false" indent="0" shrinkToFit="false"/>
      <protection locked="false" hidden="false"/>
    </xf>
    <xf numFmtId="172" fontId="0" fillId="0" borderId="34" xfId="0" applyFont="false" applyBorder="true" applyAlignment="false" applyProtection="true">
      <alignment horizontal="general" vertical="bottom" textRotation="0" wrapText="false" indent="0" shrinkToFit="false"/>
      <protection locked="false" hidden="false"/>
    </xf>
    <xf numFmtId="172" fontId="5" fillId="0" borderId="0" xfId="0" applyFont="true" applyBorder="false" applyAlignment="false" applyProtection="true">
      <alignment horizontal="general" vertical="bottom" textRotation="0" wrapText="false" indent="0" shrinkToFit="false"/>
      <protection locked="false" hidden="false"/>
    </xf>
    <xf numFmtId="170" fontId="0" fillId="0" borderId="0" xfId="0" applyFont="fals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fals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26" fillId="6" borderId="3"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5" fillId="0" borderId="5" xfId="0" applyFont="true" applyBorder="true" applyAlignment="true" applyProtection="false">
      <alignment horizontal="general" vertical="top" textRotation="0" wrapText="tru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true" indent="0" shrinkToFit="false"/>
      <protection locked="false" hidden="false"/>
    </xf>
    <xf numFmtId="164" fontId="28" fillId="7" borderId="15" xfId="0" applyFont="true" applyBorder="true" applyAlignment="false" applyProtection="false">
      <alignment horizontal="general" vertical="bottom" textRotation="0" wrapText="false" indent="0" shrinkToFit="false"/>
      <protection locked="true" hidden="false"/>
    </xf>
    <xf numFmtId="164" fontId="5" fillId="6" borderId="16" xfId="22" applyFont="true" applyBorder="true" applyAlignment="true" applyProtection="true">
      <alignment horizontal="center" vertical="bottom" textRotation="0" wrapText="false" indent="0" shrinkToFit="false"/>
      <protection locked="false" hidden="false"/>
    </xf>
    <xf numFmtId="164" fontId="13" fillId="0" borderId="19" xfId="0" applyFont="true" applyBorder="true" applyAlignment="true" applyProtection="true">
      <alignment horizontal="left" vertical="bottom" textRotation="0" wrapText="false" indent="0" shrinkToFit="false"/>
      <protection locked="false" hidden="false"/>
    </xf>
    <xf numFmtId="164" fontId="13" fillId="0" borderId="20" xfId="0" applyFont="true" applyBorder="true" applyAlignment="true" applyProtection="true">
      <alignment horizontal="left" vertical="bottom" textRotation="0" wrapText="false" indent="0" shrinkToFit="false"/>
      <protection locked="false" hidden="false"/>
    </xf>
    <xf numFmtId="164" fontId="5" fillId="0" borderId="20" xfId="0" applyFont="true" applyBorder="tru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left" vertical="bottom" textRotation="0" wrapText="false" indent="0" shrinkToFit="false"/>
      <protection locked="false" hidden="false"/>
    </xf>
    <xf numFmtId="164" fontId="5" fillId="0" borderId="0" xfId="0" applyFont="true" applyBorder="false" applyAlignment="true" applyProtection="true">
      <alignment horizontal="left" vertical="bottom" textRotation="0" wrapText="false" indent="0" shrinkToFit="false"/>
      <protection locked="false" hidden="false"/>
    </xf>
    <xf numFmtId="165" fontId="17" fillId="7" borderId="22" xfId="0" applyFont="true" applyBorder="true" applyAlignment="true" applyProtection="false">
      <alignment horizontal="center" vertical="bottom" textRotation="0" wrapText="false" indent="0" shrinkToFit="false"/>
      <protection locked="true" hidden="false"/>
    </xf>
    <xf numFmtId="164" fontId="10" fillId="6" borderId="7" xfId="0" applyFont="true" applyBorder="true" applyAlignment="false" applyProtection="false">
      <alignment horizontal="general" vertical="bottom" textRotation="0" wrapText="false" indent="0" shrinkToFit="false"/>
      <protection locked="true" hidden="false"/>
    </xf>
    <xf numFmtId="164" fontId="10" fillId="6" borderId="0" xfId="0" applyFont="true" applyBorder="false" applyAlignment="false" applyProtection="false">
      <alignment horizontal="general" vertical="bottom" textRotation="0" wrapText="false" indent="0" shrinkToFit="false"/>
      <protection locked="true" hidden="false"/>
    </xf>
    <xf numFmtId="164" fontId="10" fillId="6" borderId="8" xfId="0" applyFont="true" applyBorder="true" applyAlignment="false" applyProtection="false">
      <alignment horizontal="general" vertical="bottom" textRotation="0" wrapText="false" indent="0" shrinkToFit="false"/>
      <protection locked="true" hidden="false"/>
    </xf>
    <xf numFmtId="164" fontId="22" fillId="0" borderId="13" xfId="0" applyFont="true" applyBorder="true" applyAlignment="true" applyProtection="true">
      <alignment horizontal="left" vertical="bottom" textRotation="0" wrapText="false" indent="0" shrinkToFit="false"/>
      <protection locked="false" hidden="false"/>
    </xf>
    <xf numFmtId="164" fontId="10" fillId="0" borderId="7" xfId="0" applyFont="true" applyBorder="true" applyAlignment="false" applyProtection="false">
      <alignment horizontal="general" vertical="bottom" textRotation="0" wrapText="false" indent="0" shrinkToFit="false"/>
      <protection locked="true" hidden="false"/>
    </xf>
    <xf numFmtId="164" fontId="10" fillId="0" borderId="8" xfId="0" applyFont="true" applyBorder="true" applyAlignment="false" applyProtection="false">
      <alignment horizontal="general" vertical="bottom" textRotation="0" wrapText="false" indent="0" shrinkToFit="false"/>
      <protection locked="true" hidden="false"/>
    </xf>
    <xf numFmtId="164" fontId="21" fillId="6" borderId="7" xfId="0" applyFont="true" applyBorder="true" applyAlignment="false" applyProtection="false">
      <alignment horizontal="general" vertical="bottom" textRotation="0" wrapText="false" indent="0" shrinkToFit="false"/>
      <protection locked="true" hidden="false"/>
    </xf>
    <xf numFmtId="164" fontId="29" fillId="6" borderId="7" xfId="20" applyFont="true" applyBorder="true" applyAlignment="true" applyProtection="true">
      <alignment horizontal="left" vertical="center" textRotation="0" wrapText="false" indent="0" shrinkToFit="false"/>
      <protection locked="true" hidden="false"/>
    </xf>
    <xf numFmtId="169" fontId="13" fillId="11" borderId="16" xfId="0" applyFont="true" applyBorder="true" applyAlignment="true" applyProtection="true">
      <alignment horizontal="right" vertical="bottom" textRotation="0" wrapText="false" indent="0" shrinkToFit="false"/>
      <protection locked="false" hidden="false"/>
    </xf>
    <xf numFmtId="164" fontId="10" fillId="6" borderId="12" xfId="0" applyFont="true" applyBorder="true" applyAlignment="true" applyProtection="false">
      <alignment horizontal="left" vertical="top" textRotation="0" wrapText="true" indent="0" shrinkToFit="false"/>
      <protection locked="true" hidden="false"/>
    </xf>
    <xf numFmtId="164" fontId="13" fillId="0" borderId="35" xfId="0" applyFont="true" applyBorder="true" applyAlignment="true" applyProtection="true">
      <alignment horizontal="left" vertical="bottom" textRotation="0" wrapText="false" indent="0" shrinkToFit="false"/>
      <protection locked="false" hidden="false"/>
    </xf>
    <xf numFmtId="164" fontId="13" fillId="0" borderId="23" xfId="0" applyFont="true" applyBorder="true" applyAlignment="true" applyProtection="true">
      <alignment horizontal="left" vertical="bottom" textRotation="0" wrapText="false" indent="0" shrinkToFit="false"/>
      <protection locked="false" hidden="false"/>
    </xf>
    <xf numFmtId="166" fontId="13" fillId="0" borderId="0" xfId="19" applyFont="true" applyBorder="true" applyAlignment="true" applyProtection="true">
      <alignment horizontal="right" vertical="bottom" textRotation="0" wrapText="false" indent="0" shrinkToFit="false"/>
      <protection locked="false" hidden="false"/>
    </xf>
    <xf numFmtId="169" fontId="13" fillId="8" borderId="17" xfId="22" applyFont="true" applyBorder="true" applyAlignment="true" applyProtection="true">
      <alignment horizontal="general" vertical="bottom" textRotation="0" wrapText="true" indent="0" shrinkToFit="false"/>
      <protection locked="true" hidden="false"/>
    </xf>
    <xf numFmtId="169" fontId="13" fillId="8" borderId="35" xfId="22" applyFont="true" applyBorder="true" applyAlignment="true" applyProtection="true">
      <alignment horizontal="general" vertical="bottom" textRotation="0" wrapText="false" indent="0" shrinkToFit="false"/>
      <protection locked="true" hidden="false"/>
    </xf>
    <xf numFmtId="164" fontId="18" fillId="7" borderId="15" xfId="0" applyFont="true" applyBorder="true" applyAlignment="true" applyProtection="false">
      <alignment horizontal="left" vertical="bottom" textRotation="0" wrapText="false" indent="0" shrinkToFit="false"/>
      <protection locked="true" hidden="false"/>
    </xf>
    <xf numFmtId="164" fontId="21" fillId="6" borderId="12" xfId="0" applyFont="true" applyBorder="true" applyAlignment="true" applyProtection="false">
      <alignment horizontal="left" vertical="center" textRotation="0" wrapText="true" indent="0" shrinkToFit="false"/>
      <protection locked="true" hidden="false"/>
    </xf>
    <xf numFmtId="164" fontId="7" fillId="9" borderId="17" xfId="0" applyFont="true" applyBorder="true" applyAlignment="true" applyProtection="false">
      <alignment horizontal="left" vertical="bottom" textRotation="0" wrapText="false" indent="0" shrinkToFit="false"/>
      <protection locked="true" hidden="false"/>
    </xf>
    <xf numFmtId="169" fontId="5"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9" fontId="13" fillId="8" borderId="18" xfId="22" applyFont="true" applyBorder="true" applyAlignment="true" applyProtection="true">
      <alignment horizontal="right" vertical="bottom" textRotation="0" wrapText="false" indent="0" shrinkToFit="false"/>
      <protection locked="true" hidden="false"/>
    </xf>
    <xf numFmtId="169" fontId="13" fillId="8" borderId="23" xfId="22" applyFont="true" applyBorder="true" applyAlignment="true" applyProtection="true">
      <alignment horizontal="general" vertical="bottom" textRotation="0" wrapText="false" indent="0" shrinkToFit="false"/>
      <protection locked="true" hidden="false"/>
    </xf>
    <xf numFmtId="164" fontId="21" fillId="6" borderId="12" xfId="0" applyFont="true" applyBorder="true" applyAlignment="true" applyProtection="false">
      <alignment horizontal="left" vertical="top" textRotation="0" wrapText="true" indent="0" shrinkToFit="false"/>
      <protection locked="true" hidden="false"/>
    </xf>
    <xf numFmtId="164" fontId="13" fillId="0" borderId="17" xfId="0" applyFont="true" applyBorder="true" applyAlignment="true" applyProtection="true">
      <alignment horizontal="left" vertical="bottom" textRotation="0" wrapText="false" indent="0" shrinkToFit="false"/>
      <protection locked="false" hidden="false"/>
    </xf>
    <xf numFmtId="164" fontId="0" fillId="0" borderId="18" xfId="0" applyFont="false" applyBorder="true" applyAlignment="true" applyProtection="true">
      <alignment horizontal="left" vertical="bottom" textRotation="0" wrapText="false" indent="0" shrinkToFit="false"/>
      <protection locked="fals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64" fontId="21" fillId="6" borderId="12" xfId="0" applyFont="true" applyBorder="true" applyAlignment="true" applyProtection="false">
      <alignment horizontal="general" vertical="top" textRotation="0" wrapText="true" indent="0" shrinkToFit="false"/>
      <protection locked="true" hidden="false"/>
    </xf>
    <xf numFmtId="164" fontId="10" fillId="0" borderId="0" xfId="0" applyFont="true" applyBorder="false" applyAlignment="true" applyProtection="true">
      <alignment horizontal="general" vertical="bottom" textRotation="0" wrapText="true" indent="0" shrinkToFit="false"/>
      <protection locked="false" hidden="false"/>
    </xf>
    <xf numFmtId="169" fontId="23" fillId="5" borderId="47" xfId="22" applyFont="true" applyBorder="true" applyAlignment="true" applyProtection="true">
      <alignment horizontal="general" vertical="bottom" textRotation="0" wrapText="false" indent="0" shrinkToFit="false"/>
      <protection locked="true" hidden="false"/>
    </xf>
    <xf numFmtId="164" fontId="32" fillId="6" borderId="7" xfId="0" applyFont="true" applyBorder="true" applyAlignment="true" applyProtection="false">
      <alignment horizontal="general" vertical="center" textRotation="0" wrapText="false" indent="0" shrinkToFit="false"/>
      <protection locked="true" hidden="false"/>
    </xf>
    <xf numFmtId="164" fontId="32" fillId="6" borderId="0" xfId="0" applyFont="true" applyBorder="false" applyAlignment="true" applyProtection="false">
      <alignment horizontal="general" vertical="center" textRotation="0" wrapText="false" indent="0" shrinkToFit="false"/>
      <protection locked="true" hidden="false"/>
    </xf>
    <xf numFmtId="164" fontId="32" fillId="6" borderId="8" xfId="0" applyFont="true" applyBorder="true" applyAlignment="true" applyProtection="false">
      <alignment horizontal="general" vertical="center" textRotation="0" wrapText="false" indent="0" shrinkToFit="false"/>
      <protection locked="true" hidden="false"/>
    </xf>
    <xf numFmtId="164" fontId="30" fillId="6" borderId="12" xfId="0" applyFont="true" applyBorder="true" applyAlignment="true" applyProtection="false">
      <alignment horizontal="left" vertical="top" textRotation="0" wrapText="true" indent="0" shrinkToFit="false"/>
      <protection locked="true" hidden="false"/>
    </xf>
    <xf numFmtId="164" fontId="13" fillId="0" borderId="16" xfId="0" applyFont="true" applyBorder="true" applyAlignment="false" applyProtection="false">
      <alignment horizontal="general" vertical="bottom" textRotation="0" wrapText="false" indent="0" shrinkToFit="false"/>
      <protection locked="true" hidden="false"/>
    </xf>
    <xf numFmtId="164" fontId="19" fillId="0" borderId="16" xfId="0" applyFont="true" applyBorder="true" applyAlignment="false" applyProtection="false">
      <alignment horizontal="general" vertical="bottom" textRotation="0" wrapText="false" indent="0" shrinkToFit="false"/>
      <protection locked="true" hidden="false"/>
    </xf>
    <xf numFmtId="169" fontId="5" fillId="0" borderId="16" xfId="0" applyFont="true" applyBorder="true" applyAlignment="false" applyProtection="false">
      <alignment horizontal="general" vertical="bottom" textRotation="0" wrapText="false" indent="0" shrinkToFit="false"/>
      <protection locked="true" hidden="false"/>
    </xf>
    <xf numFmtId="169" fontId="5" fillId="0" borderId="22" xfId="0" applyFont="true" applyBorder="true" applyAlignment="false" applyProtection="false">
      <alignment horizontal="general" vertical="bottom" textRotation="0" wrapText="false" indent="0" shrinkToFit="false"/>
      <protection locked="true" hidden="false"/>
    </xf>
    <xf numFmtId="170" fontId="5" fillId="0" borderId="16"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0" fontId="7" fillId="9" borderId="23" xfId="22" applyFont="true" applyBorder="true" applyAlignment="true" applyProtection="true">
      <alignment horizontal="general" vertical="bottom" textRotation="0" wrapText="tru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0" fontId="7" fillId="9" borderId="48" xfId="22" applyFont="true" applyBorder="true" applyAlignment="true" applyProtection="true">
      <alignment horizontal="general" vertical="top" textRotation="0" wrapText="true" indent="0" shrinkToFit="false"/>
      <protection locked="true" hidden="false"/>
    </xf>
    <xf numFmtId="170" fontId="7" fillId="9" borderId="49" xfId="22" applyFont="true" applyBorder="true" applyAlignment="true" applyProtection="true">
      <alignment horizontal="general" vertical="bottom" textRotation="0" wrapText="false" indent="0" shrinkToFit="false"/>
      <protection locked="true" hidden="false"/>
    </xf>
    <xf numFmtId="170" fontId="7" fillId="9" borderId="50" xfId="22" applyFont="true" applyBorder="true" applyAlignment="true" applyProtection="true">
      <alignment horizontal="general" vertical="bottom" textRotation="0" wrapText="false" indent="0" shrinkToFit="false"/>
      <protection locked="true" hidden="false"/>
    </xf>
    <xf numFmtId="169" fontId="7" fillId="9" borderId="26" xfId="22" applyFont="true" applyBorder="true" applyAlignment="true" applyProtection="true">
      <alignment horizontal="general" vertical="bottom" textRotation="0" wrapText="false" indent="0" shrinkToFit="false"/>
      <protection locked="true" hidden="false"/>
    </xf>
    <xf numFmtId="169" fontId="7" fillId="9" borderId="47" xfId="22" applyFont="true" applyBorder="true" applyAlignment="true" applyProtection="true">
      <alignment horizontal="general" vertical="bottom" textRotation="0" wrapText="false" indent="0" shrinkToFit="false"/>
      <protection locked="true" hidden="false"/>
    </xf>
    <xf numFmtId="164" fontId="32" fillId="6" borderId="7" xfId="0" applyFont="true" applyBorder="true" applyAlignment="false" applyProtection="false">
      <alignment horizontal="general" vertical="bottom" textRotation="0" wrapText="false" indent="0" shrinkToFit="false"/>
      <protection locked="true" hidden="false"/>
    </xf>
    <xf numFmtId="164" fontId="32" fillId="6" borderId="0" xfId="0" applyFont="true" applyBorder="false" applyAlignment="false" applyProtection="false">
      <alignment horizontal="general" vertical="bottom" textRotation="0" wrapText="false" indent="0" shrinkToFit="false"/>
      <protection locked="true" hidden="false"/>
    </xf>
    <xf numFmtId="164" fontId="32" fillId="6" borderId="8" xfId="0" applyFont="true" applyBorder="true" applyAlignment="false" applyProtection="false">
      <alignment horizontal="general" vertical="bottom" textRotation="0" wrapText="false" indent="0" shrinkToFit="false"/>
      <protection locked="true" hidden="false"/>
    </xf>
    <xf numFmtId="164" fontId="30" fillId="6" borderId="12" xfId="0" applyFont="true" applyBorder="true" applyAlignment="true" applyProtection="false">
      <alignment horizontal="left" vertical="center" textRotation="0" wrapText="true" indent="0" shrinkToFit="false"/>
      <protection locked="true" hidden="false"/>
    </xf>
    <xf numFmtId="164" fontId="10" fillId="6" borderId="32" xfId="0" applyFont="true" applyBorder="true" applyAlignment="false" applyProtection="false">
      <alignment horizontal="general" vertical="bottom" textRotation="0" wrapText="false" indent="0" shrinkToFit="false"/>
      <protection locked="true" hidden="false"/>
    </xf>
    <xf numFmtId="164" fontId="10" fillId="6" borderId="33" xfId="0" applyFont="true" applyBorder="true" applyAlignment="false" applyProtection="false">
      <alignment horizontal="general" vertical="bottom" textRotation="0" wrapText="false" indent="0" shrinkToFit="false"/>
      <protection locked="true" hidden="false"/>
    </xf>
    <xf numFmtId="164" fontId="10" fillId="6" borderId="34" xfId="0" applyFont="true" applyBorder="tru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35" fillId="12" borderId="51" xfId="0" applyFont="true" applyBorder="true" applyAlignment="false" applyProtection="false">
      <alignment horizontal="general" vertical="bottom" textRotation="0" wrapText="false" indent="0" shrinkToFit="false"/>
      <protection locked="true" hidden="false"/>
    </xf>
    <xf numFmtId="164" fontId="35" fillId="12" borderId="52" xfId="0" applyFont="true" applyBorder="true" applyAlignment="false" applyProtection="false">
      <alignment horizontal="general" vertical="bottom" textRotation="0" wrapText="false" indent="0" shrinkToFit="false"/>
      <protection locked="true" hidden="false"/>
    </xf>
    <xf numFmtId="168" fontId="36" fillId="12" borderId="52" xfId="0" applyFont="true" applyBorder="true" applyAlignment="false" applyProtection="false">
      <alignment horizontal="general" vertical="bottom" textRotation="0" wrapText="false" indent="0" shrinkToFit="false"/>
      <protection locked="true" hidden="false"/>
    </xf>
    <xf numFmtId="164" fontId="37" fillId="12" borderId="52" xfId="0" applyFont="true" applyBorder="true" applyAlignment="false" applyProtection="false">
      <alignment horizontal="general" vertical="bottom" textRotation="0" wrapText="false" indent="0" shrinkToFit="false"/>
      <protection locked="true" hidden="false"/>
    </xf>
    <xf numFmtId="164" fontId="35" fillId="12" borderId="53" xfId="0" applyFont="true" applyBorder="true" applyAlignment="false" applyProtection="false">
      <alignment horizontal="general" vertical="bottom" textRotation="0" wrapText="false" indent="0" shrinkToFit="false"/>
      <protection locked="true" hidden="false"/>
    </xf>
    <xf numFmtId="164" fontId="35" fillId="12" borderId="54" xfId="0" applyFont="true" applyBorder="true" applyAlignment="false" applyProtection="false">
      <alignment horizontal="general" vertical="bottom" textRotation="0" wrapText="false" indent="0" shrinkToFit="false"/>
      <protection locked="true" hidden="false"/>
    </xf>
    <xf numFmtId="164" fontId="38" fillId="13" borderId="55" xfId="0" applyFont="true" applyBorder="true" applyAlignment="false" applyProtection="false">
      <alignment horizontal="general" vertical="bottom" textRotation="0" wrapText="false" indent="0" shrinkToFit="false"/>
      <protection locked="true" hidden="false"/>
    </xf>
    <xf numFmtId="164" fontId="38" fillId="13" borderId="56" xfId="0" applyFont="true" applyBorder="true" applyAlignment="false" applyProtection="false">
      <alignment horizontal="general" vertical="bottom" textRotation="0" wrapText="false" indent="0" shrinkToFit="false"/>
      <protection locked="true" hidden="false"/>
    </xf>
    <xf numFmtId="164" fontId="34" fillId="13" borderId="56" xfId="0" applyFont="true" applyBorder="true" applyAlignment="false" applyProtection="false">
      <alignment horizontal="general" vertical="bottom" textRotation="0" wrapText="false" indent="0" shrinkToFit="false"/>
      <protection locked="true" hidden="false"/>
    </xf>
    <xf numFmtId="164" fontId="34" fillId="13" borderId="57" xfId="0" applyFont="true" applyBorder="true" applyAlignment="false" applyProtection="false">
      <alignment horizontal="general"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40" fillId="12" borderId="0" xfId="0" applyFont="true" applyBorder="false" applyAlignment="false" applyProtection="false">
      <alignment horizontal="general" vertical="bottom" textRotation="0" wrapText="false" indent="0" shrinkToFit="false"/>
      <protection locked="true" hidden="false"/>
    </xf>
    <xf numFmtId="164" fontId="34" fillId="6" borderId="0" xfId="0" applyFont="true" applyBorder="false" applyAlignment="false" applyProtection="false">
      <alignment horizontal="general" vertical="bottom" textRotation="0" wrapText="false" indent="0" shrinkToFit="false"/>
      <protection locked="true" hidden="false"/>
    </xf>
    <xf numFmtId="164" fontId="11" fillId="6" borderId="0" xfId="0" applyFont="true" applyBorder="true" applyAlignment="true" applyProtection="false">
      <alignment horizontal="center" vertical="bottom" textRotation="0" wrapText="false" indent="0" shrinkToFit="false"/>
      <protection locked="true" hidden="false"/>
    </xf>
    <xf numFmtId="164" fontId="34" fillId="0" borderId="58" xfId="0" applyFont="true" applyBorder="true" applyAlignment="false" applyProtection="false">
      <alignment horizontal="general" vertical="bottom" textRotation="0" wrapText="false" indent="0" shrinkToFit="false"/>
      <protection locked="true" hidden="false"/>
    </xf>
    <xf numFmtId="164" fontId="34" fillId="0" borderId="59" xfId="0" applyFont="true" applyBorder="true" applyAlignment="false" applyProtection="false">
      <alignment horizontal="general" vertical="bottom" textRotation="0" wrapText="false" indent="0" shrinkToFit="false"/>
      <protection locked="true" hidden="false"/>
    </xf>
    <xf numFmtId="165" fontId="11" fillId="6" borderId="0" xfId="0" applyFont="true" applyBorder="false" applyAlignment="false" applyProtection="false">
      <alignment horizontal="general" vertical="bottom" textRotation="0" wrapText="false" indent="0" shrinkToFit="false"/>
      <protection locked="true" hidden="false"/>
    </xf>
    <xf numFmtId="164" fontId="11" fillId="6" borderId="0" xfId="0" applyFont="true" applyBorder="false" applyAlignment="true" applyProtection="false">
      <alignment horizontal="center" vertical="bottom" textRotation="0" wrapText="false" indent="0" shrinkToFit="false"/>
      <protection locked="true" hidden="false"/>
    </xf>
    <xf numFmtId="164" fontId="11" fillId="6" borderId="60" xfId="0" applyFont="true" applyBorder="true" applyAlignment="false" applyProtection="false">
      <alignment horizontal="general" vertical="bottom" textRotation="0" wrapText="false" indent="0" shrinkToFit="false"/>
      <protection locked="true" hidden="false"/>
    </xf>
    <xf numFmtId="164" fontId="41" fillId="14" borderId="61" xfId="0" applyFont="true" applyBorder="true" applyAlignment="false" applyProtection="false">
      <alignment horizontal="general" vertical="bottom" textRotation="0" wrapText="false" indent="0" shrinkToFit="false"/>
      <protection locked="true" hidden="false"/>
    </xf>
    <xf numFmtId="164" fontId="41" fillId="14" borderId="62" xfId="0" applyFont="true" applyBorder="true" applyAlignment="false" applyProtection="false">
      <alignment horizontal="general" vertical="bottom" textRotation="0" wrapText="false" indent="0" shrinkToFit="false"/>
      <protection locked="true" hidden="false"/>
    </xf>
    <xf numFmtId="164" fontId="34" fillId="0" borderId="63" xfId="0" applyFont="true" applyBorder="true" applyAlignment="false" applyProtection="false">
      <alignment horizontal="general" vertical="bottom" textRotation="0" wrapText="false" indent="0" shrinkToFit="false"/>
      <protection locked="true" hidden="false"/>
    </xf>
    <xf numFmtId="165" fontId="34" fillId="15" borderId="64" xfId="0" applyFont="true" applyBorder="true" applyAlignment="false" applyProtection="false">
      <alignment horizontal="general" vertical="bottom" textRotation="0" wrapText="false" indent="0" shrinkToFit="false"/>
      <protection locked="true" hidden="false"/>
    </xf>
    <xf numFmtId="166" fontId="34" fillId="15" borderId="64" xfId="19" applyFont="true" applyBorder="true" applyAlignment="true" applyProtection="true">
      <alignment horizontal="general" vertical="bottom" textRotation="0" wrapText="false" indent="0" shrinkToFit="false"/>
      <protection locked="true" hidden="false"/>
    </xf>
    <xf numFmtId="164" fontId="34" fillId="14" borderId="65" xfId="0" applyFont="true" applyBorder="true" applyAlignment="false" applyProtection="false">
      <alignment horizontal="general" vertical="bottom" textRotation="0" wrapText="false" indent="0" shrinkToFit="false"/>
      <protection locked="true" hidden="false"/>
    </xf>
    <xf numFmtId="167" fontId="11" fillId="14" borderId="66" xfId="19" applyFont="true" applyBorder="true" applyAlignment="true" applyProtection="true">
      <alignment horizontal="general" vertical="bottom" textRotation="0" wrapText="false" indent="0" shrinkToFit="false"/>
      <protection locked="true" hidden="false"/>
    </xf>
    <xf numFmtId="164" fontId="34" fillId="15" borderId="67" xfId="0" applyFont="true" applyBorder="true" applyAlignment="false" applyProtection="false">
      <alignment horizontal="general" vertical="bottom" textRotation="0" wrapText="false" indent="0" shrinkToFit="false"/>
      <protection locked="true" hidden="false"/>
    </xf>
    <xf numFmtId="164" fontId="34" fillId="14" borderId="68" xfId="0" applyFont="true" applyBorder="true" applyAlignment="false" applyProtection="false">
      <alignment horizontal="general" vertical="bottom" textRotation="0" wrapText="false" indent="0" shrinkToFit="false"/>
      <protection locked="true" hidden="false"/>
    </xf>
    <xf numFmtId="167" fontId="11" fillId="14" borderId="69" xfId="19" applyFont="true" applyBorder="true" applyAlignment="true" applyProtection="true">
      <alignment horizontal="general" vertical="bottom" textRotation="0" wrapText="fals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64" fontId="34" fillId="15" borderId="0" xfId="0" applyFont="true" applyBorder="false" applyAlignment="false" applyProtection="false">
      <alignment horizontal="general" vertical="bottom" textRotation="0" wrapText="false" indent="0" shrinkToFit="false"/>
      <protection locked="true" hidden="false"/>
    </xf>
    <xf numFmtId="166" fontId="34" fillId="15" borderId="67" xfId="19" applyFont="true" applyBorder="true" applyAlignment="true" applyProtection="true">
      <alignment horizontal="general" vertical="bottom" textRotation="0" wrapText="false" indent="0" shrinkToFit="false"/>
      <protection locked="true" hidden="false"/>
    </xf>
    <xf numFmtId="165" fontId="34" fillId="15" borderId="70" xfId="0" applyFont="true" applyBorder="true" applyAlignment="false" applyProtection="false">
      <alignment horizontal="general" vertical="bottom" textRotation="0" wrapText="false" indent="0" shrinkToFit="false"/>
      <protection locked="true" hidden="false"/>
    </xf>
    <xf numFmtId="164" fontId="34" fillId="0" borderId="71" xfId="0" applyFont="true" applyBorder="true" applyAlignment="false" applyProtection="false">
      <alignment horizontal="general" vertical="bottom" textRotation="0" wrapText="false" indent="0" shrinkToFit="false"/>
      <protection locked="true" hidden="false"/>
    </xf>
    <xf numFmtId="164" fontId="34" fillId="15" borderId="72" xfId="0" applyFont="true" applyBorder="true" applyAlignment="false" applyProtection="false">
      <alignment horizontal="general" vertical="bottom" textRotation="0" wrapText="false" indent="0" shrinkToFit="false"/>
      <protection locked="true" hidden="false"/>
    </xf>
    <xf numFmtId="164" fontId="34" fillId="15" borderId="58" xfId="0" applyFont="true" applyBorder="true" applyAlignment="false" applyProtection="false">
      <alignment horizontal="general" vertical="bottom" textRotation="0" wrapText="false" indent="0" shrinkToFit="false"/>
      <protection locked="true" hidden="false"/>
    </xf>
    <xf numFmtId="164" fontId="34" fillId="0" borderId="73" xfId="0" applyFont="true" applyBorder="true" applyAlignment="false" applyProtection="false">
      <alignment horizontal="general" vertical="bottom" textRotation="0" wrapText="false" indent="0" shrinkToFit="false"/>
      <protection locked="true" hidden="false"/>
    </xf>
    <xf numFmtId="165" fontId="11" fillId="6" borderId="0" xfId="0" applyFont="true" applyBorder="true" applyAlignment="true" applyProtection="false">
      <alignment horizontal="center" vertical="bottom" textRotation="0" wrapText="false" indent="0" shrinkToFit="false"/>
      <protection locked="true" hidden="false"/>
    </xf>
    <xf numFmtId="164" fontId="11" fillId="6" borderId="74" xfId="0" applyFont="true" applyBorder="true" applyAlignment="false" applyProtection="false">
      <alignment horizontal="general" vertical="bottom" textRotation="0" wrapText="false" indent="0" shrinkToFit="false"/>
      <protection locked="true" hidden="false"/>
    </xf>
    <xf numFmtId="165" fontId="11" fillId="6" borderId="73" xfId="0" applyFont="true" applyBorder="true" applyAlignment="false" applyProtection="false">
      <alignment horizontal="general" vertical="bottom" textRotation="0" wrapText="false" indent="0" shrinkToFit="false"/>
      <protection locked="true" hidden="false"/>
    </xf>
    <xf numFmtId="164" fontId="34" fillId="0" borderId="75" xfId="0" applyFont="true" applyBorder="true" applyAlignment="false" applyProtection="false">
      <alignment horizontal="general" vertical="bottom" textRotation="0" wrapText="false" indent="0" shrinkToFit="false"/>
      <protection locked="true" hidden="false"/>
    </xf>
    <xf numFmtId="173" fontId="34" fillId="15" borderId="64" xfId="0" applyFont="true" applyBorder="true" applyAlignment="false" applyProtection="false">
      <alignment horizontal="general" vertical="bottom" textRotation="0" wrapText="false" indent="0" shrinkToFit="false"/>
      <protection locked="true" hidden="false"/>
    </xf>
    <xf numFmtId="173" fontId="34" fillId="15" borderId="76" xfId="0" applyFont="true" applyBorder="true" applyAlignment="false" applyProtection="false">
      <alignment horizontal="general" vertical="bottom" textRotation="0" wrapText="false" indent="0" shrinkToFit="false"/>
      <protection locked="true" hidden="false"/>
    </xf>
    <xf numFmtId="164" fontId="34" fillId="0" borderId="67" xfId="0" applyFont="true" applyBorder="true" applyAlignment="false" applyProtection="false">
      <alignment horizontal="general" vertical="bottom" textRotation="0" wrapText="false" indent="0" shrinkToFit="false"/>
      <protection locked="true" hidden="false"/>
    </xf>
    <xf numFmtId="164" fontId="34" fillId="0" borderId="77" xfId="0" applyFont="true" applyBorder="true" applyAlignment="false" applyProtection="false">
      <alignment horizontal="general" vertical="bottom" textRotation="0" wrapText="false" indent="0" shrinkToFit="false"/>
      <protection locked="true" hidden="false"/>
    </xf>
    <xf numFmtId="164" fontId="34" fillId="0" borderId="78" xfId="0" applyFont="true" applyBorder="true" applyAlignment="false" applyProtection="false">
      <alignment horizontal="general" vertical="bottom" textRotation="0" wrapText="false" indent="0" shrinkToFit="false"/>
      <protection locked="true" hidden="false"/>
    </xf>
    <xf numFmtId="173" fontId="34" fillId="15" borderId="70" xfId="0" applyFont="true" applyBorder="true" applyAlignment="false" applyProtection="false">
      <alignment horizontal="general" vertical="bottom" textRotation="0" wrapText="false" indent="0" shrinkToFit="false"/>
      <protection locked="true" hidden="false"/>
    </xf>
    <xf numFmtId="164" fontId="34" fillId="0" borderId="79" xfId="0" applyFont="true" applyBorder="true" applyAlignment="false" applyProtection="false">
      <alignment horizontal="general" vertical="bottom" textRotation="0" wrapText="false" indent="0" shrinkToFit="false"/>
      <protection locked="true" hidden="false"/>
    </xf>
    <xf numFmtId="164" fontId="34" fillId="0" borderId="80" xfId="0" applyFont="true" applyBorder="true" applyAlignment="false" applyProtection="false">
      <alignment horizontal="general" vertical="bottom" textRotation="0" wrapText="false" indent="0" shrinkToFit="false"/>
      <protection locked="true" hidden="false"/>
    </xf>
    <xf numFmtId="165" fontId="34" fillId="15" borderId="81" xfId="0" applyFont="true" applyBorder="true" applyAlignment="false" applyProtection="false">
      <alignment horizontal="general" vertical="bottom" textRotation="0" wrapText="false" indent="0" shrinkToFit="false"/>
      <protection locked="true" hidden="false"/>
    </xf>
    <xf numFmtId="173" fontId="34" fillId="15" borderId="81" xfId="0" applyFont="true" applyBorder="true" applyAlignment="false" applyProtection="false">
      <alignment horizontal="general" vertical="bottom" textRotation="0" wrapText="false" indent="0" shrinkToFit="false"/>
      <protection locked="true" hidden="false"/>
    </xf>
    <xf numFmtId="164" fontId="43" fillId="0" borderId="71" xfId="0" applyFont="true" applyBorder="true" applyAlignment="false" applyProtection="false">
      <alignment horizontal="general" vertical="bottom" textRotation="0" wrapText="false" indent="0" shrinkToFit="false"/>
      <protection locked="true" hidden="false"/>
    </xf>
    <xf numFmtId="173" fontId="11" fillId="15" borderId="58" xfId="0" applyFont="true" applyBorder="true" applyAlignment="false" applyProtection="false">
      <alignment horizontal="general" vertical="bottom" textRotation="0" wrapText="false" indent="0" shrinkToFit="false"/>
      <protection locked="true" hidden="false"/>
    </xf>
    <xf numFmtId="164" fontId="34" fillId="6" borderId="74" xfId="0" applyFont="true" applyBorder="true" applyAlignment="false" applyProtection="false">
      <alignment horizontal="general" vertical="bottom" textRotation="0" wrapText="false" indent="0" shrinkToFit="false"/>
      <protection locked="true" hidden="false"/>
    </xf>
    <xf numFmtId="165" fontId="11" fillId="6" borderId="82" xfId="0" applyFont="true" applyBorder="true" applyAlignment="false" applyProtection="false">
      <alignment horizontal="general" vertical="bottom" textRotation="0" wrapText="false" indent="0" shrinkToFit="false"/>
      <protection locked="true" hidden="false"/>
    </xf>
    <xf numFmtId="165" fontId="34" fillId="15" borderId="79" xfId="0" applyFont="true" applyBorder="true" applyAlignment="false" applyProtection="false">
      <alignment horizontal="general" vertical="bottom" textRotation="0" wrapText="false" indent="0" shrinkToFit="false"/>
      <protection locked="true" hidden="false"/>
    </xf>
    <xf numFmtId="164" fontId="34" fillId="15" borderId="64" xfId="0" applyFont="true" applyBorder="true" applyAlignment="false" applyProtection="true">
      <alignment horizontal="general" vertical="bottom" textRotation="0" wrapText="false" indent="0" shrinkToFit="false"/>
      <protection locked="false" hidden="false"/>
    </xf>
    <xf numFmtId="164" fontId="34" fillId="15" borderId="79" xfId="0" applyFont="true" applyBorder="true" applyAlignment="false" applyProtection="true">
      <alignment horizontal="general" vertical="bottom" textRotation="0" wrapText="false" indent="0" shrinkToFit="false"/>
      <protection locked="false" hidden="false"/>
    </xf>
    <xf numFmtId="173" fontId="34" fillId="15" borderId="79" xfId="0" applyFont="true" applyBorder="true" applyAlignment="false" applyProtection="true">
      <alignment horizontal="general" vertical="bottom" textRotation="0" wrapText="false" indent="0" shrinkToFit="false"/>
      <protection locked="false" hidden="false"/>
    </xf>
    <xf numFmtId="174" fontId="34" fillId="15" borderId="64" xfId="0" applyFont="true" applyBorder="true" applyAlignment="false" applyProtection="false">
      <alignment horizontal="general" vertical="bottom" textRotation="0" wrapText="false" indent="0" shrinkToFit="false"/>
      <protection locked="true" hidden="false"/>
    </xf>
    <xf numFmtId="174" fontId="34" fillId="15" borderId="83" xfId="0" applyFont="true" applyBorder="true" applyAlignment="false" applyProtection="false">
      <alignment horizontal="general" vertical="bottom" textRotation="0" wrapText="false" indent="0" shrinkToFit="false"/>
      <protection locked="true" hidden="false"/>
    </xf>
    <xf numFmtId="174" fontId="34" fillId="15" borderId="84" xfId="0" applyFont="true" applyBorder="true" applyAlignment="false" applyProtection="false">
      <alignment horizontal="general" vertical="bottom" textRotation="0" wrapText="false" indent="0" shrinkToFit="false"/>
      <protection locked="true" hidden="false"/>
    </xf>
    <xf numFmtId="173" fontId="34" fillId="15" borderId="64" xfId="0" applyFont="true" applyBorder="true" applyAlignment="false" applyProtection="true">
      <alignment horizontal="general" vertical="bottom" textRotation="0" wrapText="false" indent="0" shrinkToFit="false"/>
      <protection locked="false" hidden="false"/>
    </xf>
    <xf numFmtId="174" fontId="34" fillId="15" borderId="85" xfId="0" applyFont="true" applyBorder="true" applyAlignment="false" applyProtection="false">
      <alignment horizontal="general" vertical="bottom" textRotation="0" wrapText="false" indent="0" shrinkToFit="false"/>
      <protection locked="true" hidden="false"/>
    </xf>
    <xf numFmtId="174" fontId="34" fillId="15" borderId="86" xfId="0" applyFont="true" applyBorder="true" applyAlignment="false" applyProtection="false">
      <alignment horizontal="general" vertical="bottom" textRotation="0" wrapText="false" indent="0" shrinkToFit="false"/>
      <protection locked="true" hidden="false"/>
    </xf>
    <xf numFmtId="164" fontId="34" fillId="15" borderId="0" xfId="0" applyFont="true" applyBorder="false" applyAlignment="false" applyProtection="true">
      <alignment horizontal="general" vertical="bottom" textRotation="0" wrapText="false" indent="0" shrinkToFit="false"/>
      <protection locked="false" hidden="false"/>
    </xf>
    <xf numFmtId="173" fontId="34" fillId="15" borderId="0" xfId="0" applyFont="true" applyBorder="false" applyAlignment="false" applyProtection="true">
      <alignment horizontal="general" vertical="bottom" textRotation="0" wrapText="false" indent="0" shrinkToFit="false"/>
      <protection locked="false" hidden="false"/>
    </xf>
    <xf numFmtId="174" fontId="34" fillId="15" borderId="87" xfId="0" applyFont="true" applyBorder="true" applyAlignment="false" applyProtection="false">
      <alignment horizontal="general" vertical="bottom" textRotation="0" wrapText="false" indent="0" shrinkToFit="false"/>
      <protection locked="true" hidden="false"/>
    </xf>
    <xf numFmtId="164" fontId="34" fillId="15" borderId="88" xfId="0" applyFont="true" applyBorder="true" applyAlignment="false" applyProtection="false">
      <alignment horizontal="general" vertical="bottom" textRotation="0" wrapText="false" indent="0" shrinkToFit="false"/>
      <protection locked="true" hidden="false"/>
    </xf>
    <xf numFmtId="174" fontId="34" fillId="15" borderId="0" xfId="0" applyFont="true" applyBorder="false" applyAlignment="false" applyProtection="false">
      <alignment horizontal="general" vertical="bottom" textRotation="0" wrapText="false" indent="0" shrinkToFit="false"/>
      <protection locked="true" hidden="false"/>
    </xf>
    <xf numFmtId="174" fontId="34" fillId="15" borderId="59" xfId="0" applyFont="true" applyBorder="true" applyAlignment="false" applyProtection="false">
      <alignment horizontal="general" vertical="bottom" textRotation="0" wrapText="false" indent="0" shrinkToFit="false"/>
      <protection locked="true" hidden="false"/>
    </xf>
    <xf numFmtId="165" fontId="34" fillId="15" borderId="89" xfId="0" applyFont="true" applyBorder="true" applyAlignment="false" applyProtection="false">
      <alignment horizontal="general" vertical="bottom" textRotation="0" wrapText="false" indent="0" shrinkToFit="false"/>
      <protection locked="true" hidden="false"/>
    </xf>
    <xf numFmtId="164" fontId="34" fillId="15" borderId="83" xfId="0" applyFont="true" applyBorder="true" applyAlignment="false" applyProtection="false">
      <alignment horizontal="general" vertical="bottom" textRotation="0" wrapText="false" indent="0" shrinkToFit="false"/>
      <protection locked="true" hidden="false"/>
    </xf>
    <xf numFmtId="164" fontId="34" fillId="15" borderId="85" xfId="0" applyFont="true" applyBorder="true" applyAlignment="false" applyProtection="false">
      <alignment horizontal="general" vertical="bottom" textRotation="0" wrapText="false" indent="0" shrinkToFit="false"/>
      <protection locked="true" hidden="false"/>
    </xf>
    <xf numFmtId="164" fontId="34" fillId="15" borderId="83" xfId="0" applyFont="true" applyBorder="true" applyAlignment="false" applyProtection="true">
      <alignment horizontal="general" vertical="bottom" textRotation="0" wrapText="false" indent="0" shrinkToFit="false"/>
      <protection locked="false" hidden="false"/>
    </xf>
    <xf numFmtId="164" fontId="34" fillId="15" borderId="85" xfId="0" applyFont="true" applyBorder="true" applyAlignment="false" applyProtection="true">
      <alignment horizontal="general" vertical="bottom" textRotation="0" wrapText="false" indent="0" shrinkToFit="false"/>
      <protection locked="false" hidden="false"/>
    </xf>
    <xf numFmtId="164" fontId="34" fillId="15" borderId="81" xfId="0" applyFont="true" applyBorder="true" applyAlignment="false" applyProtection="true">
      <alignment horizontal="general" vertical="bottom" textRotation="0" wrapText="false" indent="0" shrinkToFit="false"/>
      <protection locked="false" hidden="false"/>
    </xf>
    <xf numFmtId="173" fontId="34" fillId="15" borderId="85" xfId="0" applyFont="true" applyBorder="true" applyAlignment="false" applyProtection="true">
      <alignment horizontal="general" vertical="bottom" textRotation="0" wrapText="false" indent="0" shrinkToFit="false"/>
      <protection locked="false" hidden="false"/>
    </xf>
    <xf numFmtId="174" fontId="34" fillId="15" borderId="81" xfId="0" applyFont="true" applyBorder="true" applyAlignment="false" applyProtection="false">
      <alignment horizontal="general" vertical="bottom" textRotation="0" wrapText="false" indent="0" shrinkToFit="false"/>
      <protection locked="true" hidden="false"/>
    </xf>
    <xf numFmtId="164" fontId="34" fillId="15" borderId="89" xfId="0" applyFont="true" applyBorder="true" applyAlignment="false" applyProtection="true">
      <alignment horizontal="general" vertical="bottom" textRotation="0" wrapText="false" indent="0" shrinkToFit="false"/>
      <protection locked="false" hidden="false"/>
    </xf>
    <xf numFmtId="173" fontId="34" fillId="15" borderId="89" xfId="0" applyFont="true" applyBorder="true" applyAlignment="false" applyProtection="true">
      <alignment horizontal="general" vertical="bottom" textRotation="0" wrapText="false" indent="0" shrinkToFit="false"/>
      <protection locked="false" hidden="false"/>
    </xf>
    <xf numFmtId="174" fontId="34" fillId="15" borderId="89" xfId="0" applyFont="true" applyBorder="true" applyAlignment="false" applyProtection="false">
      <alignment horizontal="general" vertical="bottom" textRotation="0" wrapText="false" indent="0" shrinkToFit="false"/>
      <protection locked="true" hidden="false"/>
    </xf>
    <xf numFmtId="164" fontId="43" fillId="0" borderId="63" xfId="0" applyFont="true" applyBorder="true" applyAlignment="false" applyProtection="false">
      <alignment horizontal="general" vertical="bottom" textRotation="0" wrapText="false" indent="0" shrinkToFit="false"/>
      <protection locked="true" hidden="false"/>
    </xf>
    <xf numFmtId="164" fontId="34" fillId="0" borderId="89" xfId="0" applyFont="true" applyBorder="true" applyAlignment="false" applyProtection="false">
      <alignment horizontal="general" vertical="bottom" textRotation="0" wrapText="false" indent="0" shrinkToFit="false"/>
      <protection locked="true" hidden="false"/>
    </xf>
    <xf numFmtId="164" fontId="34" fillId="0" borderId="85" xfId="0" applyFont="true" applyBorder="tru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true">
      <alignment horizontal="general" vertical="bottom" textRotation="0" wrapText="false" indent="0" shrinkToFit="false"/>
      <protection locked="false" hidden="false"/>
    </xf>
    <xf numFmtId="174" fontId="11" fillId="0" borderId="0" xfId="0" applyFont="true" applyBorder="false" applyAlignment="false" applyProtection="false">
      <alignment horizontal="general" vertical="bottom" textRotation="0" wrapText="false" indent="0" shrinkToFit="false"/>
      <protection locked="true" hidden="false"/>
    </xf>
    <xf numFmtId="174" fontId="11" fillId="0" borderId="90" xfId="0" applyFont="true" applyBorder="true" applyAlignment="false" applyProtection="false">
      <alignment horizontal="general" vertical="bottom" textRotation="0" wrapText="false" indent="0" shrinkToFit="false"/>
      <protection locked="true" hidden="false"/>
    </xf>
    <xf numFmtId="174" fontId="11" fillId="0" borderId="59" xfId="0" applyFont="true" applyBorder="true" applyAlignment="false" applyProtection="false">
      <alignment horizontal="general" vertical="bottom" textRotation="0" wrapText="false" indent="0" shrinkToFit="false"/>
      <protection locked="true" hidden="false"/>
    </xf>
    <xf numFmtId="164" fontId="34" fillId="0" borderId="91" xfId="0" applyFont="true" applyBorder="true" applyAlignment="false" applyProtection="false">
      <alignment horizontal="general" vertical="bottom" textRotation="0" wrapText="false" indent="0" shrinkToFit="false"/>
      <protection locked="true" hidden="false"/>
    </xf>
    <xf numFmtId="164" fontId="34" fillId="0" borderId="92" xfId="0" applyFont="true" applyBorder="true" applyAlignment="false" applyProtection="false">
      <alignment horizontal="general" vertical="bottom" textRotation="0" wrapText="false" indent="0" shrinkToFit="false"/>
      <protection locked="true" hidden="false"/>
    </xf>
    <xf numFmtId="174" fontId="34" fillId="0" borderId="92" xfId="0" applyFont="true" applyBorder="true" applyAlignment="false" applyProtection="false">
      <alignment horizontal="general" vertical="bottom" textRotation="0" wrapText="false" indent="0" shrinkToFit="false"/>
      <protection locked="true" hidden="false"/>
    </xf>
    <xf numFmtId="165" fontId="11" fillId="6" borderId="93" xfId="0" applyFont="true" applyBorder="true" applyAlignment="false" applyProtection="false">
      <alignment horizontal="general" vertical="bottom" textRotation="0" wrapText="false" indent="0" shrinkToFit="false"/>
      <protection locked="true" hidden="false"/>
    </xf>
    <xf numFmtId="165" fontId="11" fillId="6" borderId="94" xfId="0" applyFont="true" applyBorder="true" applyAlignment="false" applyProtection="false">
      <alignment horizontal="general" vertical="bottom" textRotation="0" wrapText="false" indent="0" shrinkToFit="false"/>
      <protection locked="true" hidden="false"/>
    </xf>
    <xf numFmtId="165" fontId="11" fillId="6" borderId="95" xfId="0" applyFont="true" applyBorder="true" applyAlignment="false" applyProtection="false">
      <alignment horizontal="general" vertical="bottom" textRotation="0" wrapText="false" indent="0" shrinkToFit="false"/>
      <protection locked="true" hidden="false"/>
    </xf>
    <xf numFmtId="175" fontId="34" fillId="0" borderId="58" xfId="0" applyFont="true" applyBorder="true" applyAlignment="false" applyProtection="false">
      <alignment horizontal="general" vertical="bottom" textRotation="0" wrapText="false" indent="0" shrinkToFit="false"/>
      <protection locked="true" hidden="false"/>
    </xf>
    <xf numFmtId="174" fontId="11" fillId="15" borderId="91" xfId="0" applyFont="true" applyBorder="true" applyAlignment="false" applyProtection="false">
      <alignment horizontal="general" vertical="bottom" textRotation="0" wrapText="false" indent="0" shrinkToFit="false"/>
      <protection locked="true" hidden="false"/>
    </xf>
    <xf numFmtId="174" fontId="11" fillId="15" borderId="58" xfId="0" applyFont="true" applyBorder="true" applyAlignment="false" applyProtection="false">
      <alignment horizontal="general" vertical="bottom" textRotation="0" wrapText="false" indent="0" shrinkToFit="false"/>
      <protection locked="true" hidden="false"/>
    </xf>
    <xf numFmtId="174" fontId="11" fillId="15" borderId="96"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34" fillId="12" borderId="0" xfId="0" applyFont="true" applyBorder="false" applyAlignment="false" applyProtection="false">
      <alignment horizontal="general" vertical="bottom" textRotation="0" wrapText="false" indent="0" shrinkToFit="false"/>
      <protection locked="true" hidden="false"/>
    </xf>
    <xf numFmtId="164" fontId="11" fillId="12" borderId="0" xfId="0" applyFont="true" applyBorder="false" applyAlignment="false" applyProtection="false">
      <alignment horizontal="general" vertical="bottom" textRotation="0" wrapText="false" indent="0" shrinkToFit="false"/>
      <protection locked="true" hidden="false"/>
    </xf>
    <xf numFmtId="173" fontId="34" fillId="15" borderId="0" xfId="0" applyFont="true" applyBorder="true" applyAlignment="false" applyProtection="false">
      <alignment horizontal="general" vertical="bottom" textRotation="0" wrapText="false" indent="0" shrinkToFit="false"/>
      <protection locked="true" hidden="false"/>
    </xf>
    <xf numFmtId="173" fontId="34" fillId="15" borderId="67" xfId="0" applyFont="true" applyBorder="true" applyAlignment="false" applyProtection="false">
      <alignment horizontal="general" vertical="bottom" textRotation="0" wrapText="false" indent="0" shrinkToFit="false"/>
      <protection locked="true" hidden="false"/>
    </xf>
    <xf numFmtId="173" fontId="34" fillId="15" borderId="72" xfId="0" applyFont="true" applyBorder="true" applyAlignment="false" applyProtection="false">
      <alignment horizontal="general" vertical="bottom" textRotation="0" wrapText="false" indent="0" shrinkToFit="false"/>
      <protection locked="true" hidden="false"/>
    </xf>
    <xf numFmtId="164" fontId="11" fillId="15" borderId="97" xfId="0" applyFont="true" applyBorder="true" applyAlignment="false" applyProtection="false">
      <alignment horizontal="general" vertical="bottom" textRotation="0" wrapText="false" indent="0" shrinkToFit="false"/>
      <protection locked="true" hidden="false"/>
    </xf>
    <xf numFmtId="164" fontId="34" fillId="15" borderId="97" xfId="0" applyFont="true" applyBorder="true" applyAlignment="false" applyProtection="false">
      <alignment horizontal="general" vertical="bottom" textRotation="0" wrapText="false" indent="0" shrinkToFit="false"/>
      <protection locked="true" hidden="false"/>
    </xf>
    <xf numFmtId="173" fontId="34" fillId="15" borderId="79" xfId="0" applyFont="true" applyBorder="true" applyAlignment="false" applyProtection="false">
      <alignment horizontal="general" vertical="bottom" textRotation="0" wrapText="false" indent="0" shrinkToFit="false"/>
      <protection locked="true" hidden="false"/>
    </xf>
    <xf numFmtId="164" fontId="34" fillId="15" borderId="98" xfId="0" applyFont="true" applyBorder="true" applyAlignment="false" applyProtection="false">
      <alignment horizontal="general" vertical="bottom" textRotation="0" wrapText="false" indent="0" shrinkToFit="false"/>
      <protection locked="true" hidden="false"/>
    </xf>
    <xf numFmtId="173" fontId="34" fillId="15" borderId="98" xfId="0" applyFont="true" applyBorder="true" applyAlignment="true" applyProtection="false">
      <alignment horizontal="center" vertical="bottom" textRotation="0" wrapText="false" indent="0" shrinkToFit="false"/>
      <protection locked="true" hidden="false"/>
    </xf>
    <xf numFmtId="164" fontId="11" fillId="15" borderId="58" xfId="0" applyFont="true" applyBorder="true" applyAlignment="false" applyProtection="false">
      <alignment horizontal="general" vertical="bottom" textRotation="0" wrapText="false" indent="0" shrinkToFit="false"/>
      <protection locked="true" hidden="false"/>
    </xf>
    <xf numFmtId="173" fontId="11" fillId="15" borderId="58" xfId="0" applyFont="true" applyBorder="true" applyAlignment="true" applyProtection="false">
      <alignment horizontal="center" vertical="bottom" textRotation="0" wrapText="false" indent="0" shrinkToFit="false"/>
      <protection locked="true" hidden="false"/>
    </xf>
    <xf numFmtId="164" fontId="34" fillId="0" borderId="99"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right" vertical="bottom" textRotation="0" wrapText="false" indent="0" shrinkToFit="false"/>
      <protection locked="true" hidden="false"/>
    </xf>
    <xf numFmtId="164" fontId="8" fillId="0" borderId="3" xfId="0" applyFont="true" applyBorder="true" applyAlignment="true" applyProtection="false">
      <alignment horizontal="left" vertical="top" textRotation="0" wrapText="tru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76" fontId="20" fillId="0" borderId="5" xfId="0" applyFont="true" applyBorder="true" applyAlignment="false" applyProtection="false">
      <alignment horizontal="general" vertical="bottom" textRotation="0" wrapText="false" indent="0" shrinkToFit="false"/>
      <protection locked="true" hidden="false"/>
    </xf>
    <xf numFmtId="164" fontId="20" fillId="0" borderId="5" xfId="0" applyFont="true" applyBorder="true" applyAlignment="true" applyProtection="false">
      <alignment horizontal="right" vertical="bottom" textRotation="0" wrapText="false" indent="0" shrinkToFit="false"/>
      <protection locked="true" hidden="false"/>
    </xf>
    <xf numFmtId="164" fontId="4" fillId="0" borderId="6"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76" fontId="20" fillId="0" borderId="0" xfId="0" applyFont="true" applyBorder="false" applyAlignment="false" applyProtection="false">
      <alignment horizontal="general" vertical="bottom" textRotation="0" wrapText="false" indent="0" shrinkToFit="false"/>
      <protection locked="true" hidden="false"/>
    </xf>
    <xf numFmtId="164" fontId="12" fillId="7" borderId="16" xfId="0" applyFont="true" applyBorder="true" applyAlignment="false" applyProtection="false">
      <alignment horizontal="general" vertical="bottom" textRotation="0" wrapText="false" indent="0" shrinkToFit="false"/>
      <protection locked="true" hidden="false"/>
    </xf>
    <xf numFmtId="165" fontId="13" fillId="6" borderId="16" xfId="0" applyFont="true" applyBorder="true" applyAlignment="true" applyProtection="false">
      <alignment horizontal="center" vertical="bottom" textRotation="0" wrapText="false" indent="0" shrinkToFit="false"/>
      <protection locked="true" hidden="false"/>
    </xf>
    <xf numFmtId="165" fontId="13" fillId="6" borderId="16" xfId="0" applyFont="true" applyBorder="true" applyAlignment="true" applyProtection="false">
      <alignment horizontal="left" vertical="bottom" textRotation="0" wrapText="fals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69" fontId="7" fillId="9" borderId="15" xfId="22" applyFont="true" applyBorder="true" applyAlignment="true" applyProtection="true">
      <alignment horizontal="left" vertical="bottom" textRotation="0" wrapText="false" indent="0" shrinkToFit="false"/>
      <protection locked="true" hidden="false"/>
    </xf>
    <xf numFmtId="169" fontId="7" fillId="9" borderId="35" xfId="22" applyFont="true" applyBorder="true" applyAlignment="true" applyProtection="true">
      <alignment horizontal="general"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46" fillId="0" borderId="7" xfId="0" applyFont="true" applyBorder="true" applyAlignment="false" applyProtection="false">
      <alignment horizontal="general" vertical="bottom" textRotation="0" wrapText="false" indent="0" shrinkToFit="false"/>
      <protection locked="true" hidden="false"/>
    </xf>
    <xf numFmtId="164" fontId="46" fillId="0" borderId="8" xfId="0" applyFont="true" applyBorder="true" applyAlignment="false" applyProtection="false">
      <alignment horizontal="general" vertical="bottom" textRotation="0" wrapText="false" indent="0" shrinkToFit="false"/>
      <protection locked="true" hidden="false"/>
    </xf>
    <xf numFmtId="164" fontId="46" fillId="0" borderId="13" xfId="0" applyFont="true" applyBorder="true" applyAlignment="false" applyProtection="false">
      <alignment horizontal="general" vertical="bottom" textRotation="0" wrapText="false" indent="0" shrinkToFit="false"/>
      <protection locked="true" hidden="false"/>
    </xf>
    <xf numFmtId="164" fontId="0" fillId="0" borderId="0" xfId="21" applyFont="true" applyBorder="false" applyAlignment="false" applyProtection="false">
      <alignment horizontal="general" vertical="bottom" textRotation="0" wrapText="false" indent="0" shrinkToFit="false"/>
      <protection locked="true" hidden="false"/>
    </xf>
    <xf numFmtId="164" fontId="46" fillId="0" borderId="14" xfId="0" applyFont="true" applyBorder="true" applyAlignment="false" applyProtection="false">
      <alignment horizontal="general" vertical="bottom" textRotation="0" wrapText="false" indent="0" shrinkToFit="false"/>
      <protection locked="true" hidden="false"/>
    </xf>
    <xf numFmtId="164" fontId="20" fillId="0" borderId="13"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00" xfId="23" applyFont="true" applyBorder="true" applyAlignment="true" applyProtection="true">
      <alignment horizontal="center" vertical="bottom" textRotation="0" wrapText="true" indent="0" shrinkToFit="false"/>
      <protection locked="true" hidden="false"/>
    </xf>
    <xf numFmtId="164" fontId="48" fillId="0" borderId="15" xfId="21" applyFont="true" applyBorder="true" applyAlignment="false" applyProtection="false">
      <alignment horizontal="general" vertical="bottom" textRotation="0" wrapText="false" indent="0" shrinkToFit="false"/>
      <protection locked="true" hidden="false"/>
    </xf>
    <xf numFmtId="169" fontId="5" fillId="0" borderId="16" xfId="21" applyFont="true" applyBorder="true" applyAlignment="false" applyProtection="false">
      <alignment horizontal="general" vertical="bottom" textRotation="0" wrapText="false" indent="0" shrinkToFit="false"/>
      <protection locked="true" hidden="false"/>
    </xf>
    <xf numFmtId="169" fontId="5" fillId="0" borderId="24" xfId="21" applyFont="true" applyBorder="true" applyAlignment="false" applyProtection="false">
      <alignment horizontal="general" vertical="bottom" textRotation="0" wrapText="false" indent="0" shrinkToFit="false"/>
      <protection locked="true" hidden="false"/>
    </xf>
    <xf numFmtId="169" fontId="4" fillId="0" borderId="0" xfId="0" applyFont="true" applyBorder="false" applyAlignment="false" applyProtection="false">
      <alignment horizontal="general" vertical="bottom" textRotation="0" wrapText="false" indent="0" shrinkToFit="false"/>
      <protection locked="true" hidden="false"/>
    </xf>
    <xf numFmtId="169" fontId="7" fillId="9" borderId="15" xfId="22"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false" applyProtection="false">
      <alignment horizontal="general" vertical="bottom" textRotation="0" wrapText="false" indent="0" shrinkToFit="false"/>
      <protection locked="true" hidden="false"/>
    </xf>
    <xf numFmtId="169" fontId="13" fillId="8" borderId="16" xfId="22" applyFont="true" applyBorder="true" applyAlignment="true" applyProtection="true">
      <alignment horizontal="center" vertical="bottom" textRotation="0" wrapText="true" indent="0" shrinkToFit="false"/>
      <protection locked="true" hidden="false"/>
    </xf>
    <xf numFmtId="167" fontId="7" fillId="5" borderId="101" xfId="19" applyFont="true" applyBorder="true" applyAlignment="true" applyProtection="true">
      <alignment horizontal="general" vertical="bottom" textRotation="0" wrapText="false" indent="0" shrinkToFit="false"/>
      <protection locked="true" hidden="false"/>
    </xf>
    <xf numFmtId="167" fontId="7" fillId="5" borderId="16" xfId="19" applyFont="true" applyBorder="true" applyAlignment="true" applyProtection="true">
      <alignment horizontal="general" vertical="bottom" textRotation="0" wrapText="false" indent="0" shrinkToFit="false"/>
      <protection locked="true" hidden="false"/>
    </xf>
    <xf numFmtId="167" fontId="13" fillId="8" borderId="16" xfId="19" applyFont="true" applyBorder="true" applyAlignment="true" applyProtection="true">
      <alignment horizontal="general" vertical="bottom" textRotation="0" wrapText="false" indent="0" shrinkToFit="false"/>
      <protection locked="true" hidden="false"/>
    </xf>
    <xf numFmtId="170" fontId="4" fillId="0" borderId="0" xfId="0" applyFont="true" applyBorder="false" applyAlignment="false" applyProtection="false">
      <alignment horizontal="general" vertical="bottom" textRotation="0" wrapText="false" indent="0" shrinkToFit="false"/>
      <protection locked="true" hidden="false"/>
    </xf>
    <xf numFmtId="167" fontId="7" fillId="5" borderId="102" xfId="19" applyFont="true" applyBorder="true" applyAlignment="true" applyProtection="true">
      <alignment horizontal="general" vertical="bottom" textRotation="0" wrapText="false" indent="0" shrinkToFit="false"/>
      <protection locked="true" hidden="false"/>
    </xf>
    <xf numFmtId="167" fontId="9" fillId="0" borderId="16" xfId="22" applyFont="true" applyBorder="true" applyAlignment="true" applyProtection="true">
      <alignment horizontal="center" vertical="bottom" textRotation="0" wrapText="false" indent="0" shrinkToFit="false"/>
      <protection locked="true" hidden="false"/>
    </xf>
    <xf numFmtId="164" fontId="20" fillId="0" borderId="14" xfId="0" applyFont="true" applyBorder="true" applyAlignment="false" applyProtection="false">
      <alignment horizontal="general" vertical="bottom" textRotation="0" wrapText="false" indent="0" shrinkToFit="false"/>
      <protection locked="true" hidden="false"/>
    </xf>
    <xf numFmtId="167" fontId="4" fillId="0" borderId="8" xfId="19" applyFont="true" applyBorder="true" applyAlignment="true" applyProtection="true">
      <alignment horizontal="general" vertical="bottom" textRotation="0" wrapText="false" indent="0" shrinkToFit="false"/>
      <protection locked="true" hidden="false"/>
    </xf>
    <xf numFmtId="164" fontId="13" fillId="0" borderId="13" xfId="0" applyFont="true" applyBorder="true" applyAlignment="true" applyProtection="false">
      <alignment horizontal="general" vertical="bottom" textRotation="0" wrapText="true" indent="0" shrinkToFit="false"/>
      <protection locked="true" hidden="false"/>
    </xf>
    <xf numFmtId="164" fontId="32" fillId="0" borderId="0" xfId="0" applyFont="true" applyBorder="false" applyAlignment="true" applyProtection="false">
      <alignment horizontal="general" vertical="bottom" textRotation="0" wrapText="true" indent="0" shrinkToFit="false"/>
      <protection locked="true" hidden="false"/>
    </xf>
    <xf numFmtId="167" fontId="4" fillId="0" borderId="0" xfId="19" applyFont="true" applyBorder="true" applyAlignment="true" applyProtection="true">
      <alignment horizontal="general" vertical="bottom" textRotation="0" wrapText="false" indent="0" shrinkToFit="false"/>
      <protection locked="true" hidden="false"/>
    </xf>
    <xf numFmtId="170" fontId="4" fillId="0" borderId="0" xfId="19" applyFont="true" applyBorder="true" applyAlignment="true" applyProtection="true">
      <alignment horizontal="general" vertical="bottom" textRotation="0" wrapText="false" indent="0" shrinkToFit="false"/>
      <protection locked="true" hidden="false"/>
    </xf>
    <xf numFmtId="164" fontId="13" fillId="0" borderId="19" xfId="0" applyFont="true" applyBorder="true" applyAlignment="false" applyProtection="false">
      <alignment horizontal="general" vertical="bottom" textRotation="0" wrapText="false" indent="0" shrinkToFit="false"/>
      <protection locked="true" hidden="false"/>
    </xf>
    <xf numFmtId="164" fontId="13" fillId="0" borderId="20" xfId="0" applyFont="true" applyBorder="true" applyAlignment="false" applyProtection="false">
      <alignment horizontal="general" vertical="bottom" textRotation="0" wrapText="false" indent="0" shrinkToFit="false"/>
      <protection locked="true" hidden="false"/>
    </xf>
    <xf numFmtId="177" fontId="4" fillId="0" borderId="20" xfId="19" applyFont="true" applyBorder="true" applyAlignment="true" applyProtection="true">
      <alignment horizontal="general" vertical="bottom" textRotation="0" wrapText="false" indent="0" shrinkToFit="false"/>
      <protection locked="true" hidden="false"/>
    </xf>
    <xf numFmtId="167" fontId="4" fillId="0" borderId="20" xfId="19" applyFont="true" applyBorder="true" applyAlignment="true" applyProtection="true">
      <alignment horizontal="general" vertical="bottom" textRotation="0" wrapText="false" indent="0" shrinkToFit="false"/>
      <protection locked="true" hidden="false"/>
    </xf>
    <xf numFmtId="167"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4" fontId="13" fillId="0" borderId="13" xfId="0" applyFont="true" applyBorder="true" applyAlignment="false" applyProtection="false">
      <alignment horizontal="general" vertical="bottom" textRotation="0" wrapText="false" indent="0" shrinkToFit="false"/>
      <protection locked="true" hidden="false"/>
    </xf>
    <xf numFmtId="177" fontId="4" fillId="0" borderId="0" xfId="19" applyFont="true" applyBorder="true" applyAlignment="true" applyProtection="true">
      <alignment horizontal="general" vertical="bottom" textRotation="0" wrapText="false" indent="0" shrinkToFit="false"/>
      <protection locked="true" hidden="false"/>
    </xf>
    <xf numFmtId="165" fontId="49" fillId="16" borderId="16" xfId="0" applyFont="true" applyBorder="true" applyAlignment="true" applyProtection="false">
      <alignment horizontal="center"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6" fontId="5" fillId="2" borderId="16" xfId="19" applyFont="true" applyBorder="true" applyAlignment="true" applyProtection="true">
      <alignment horizontal="general" vertical="bottom" textRotation="0" wrapText="false" indent="0" shrinkToFit="false"/>
      <protection locked="true" hidden="false"/>
    </xf>
    <xf numFmtId="178" fontId="13" fillId="0" borderId="16" xfId="0" applyFont="true" applyBorder="true" applyAlignment="false" applyProtection="false">
      <alignment horizontal="general" vertical="bottom" textRotation="0" wrapText="false" indent="0" shrinkToFit="false"/>
      <protection locked="true" hidden="false"/>
    </xf>
    <xf numFmtId="166" fontId="7" fillId="9" borderId="35" xfId="19" applyFont="true" applyBorder="true" applyAlignment="true" applyProtection="true">
      <alignment horizontal="general" vertical="bottom" textRotation="0" wrapText="false" indent="0" shrinkToFit="false"/>
      <protection locked="true" hidden="false"/>
    </xf>
    <xf numFmtId="164" fontId="45" fillId="0" borderId="13"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32" xfId="0" applyFont="true" applyBorder="true" applyAlignment="false" applyProtection="false">
      <alignment horizontal="general" vertical="bottom" textRotation="0" wrapText="false" indent="0" shrinkToFit="false"/>
      <protection locked="true" hidden="false"/>
    </xf>
    <xf numFmtId="164" fontId="4" fillId="0" borderId="33" xfId="0" applyFont="true" applyBorder="true" applyAlignment="false" applyProtection="false">
      <alignment horizontal="general" vertical="bottom" textRotation="0" wrapText="false" indent="0" shrinkToFit="false"/>
      <protection locked="true" hidden="false"/>
    </xf>
    <xf numFmtId="164" fontId="4" fillId="0" borderId="34" xfId="0" applyFont="true" applyBorder="true" applyAlignment="false" applyProtection="false">
      <alignment horizontal="general" vertical="bottom" textRotation="0" wrapText="false" indent="0" shrinkToFit="false"/>
      <protection locked="true" hidden="false"/>
    </xf>
    <xf numFmtId="164" fontId="50" fillId="0" borderId="0" xfId="0" applyFont="true" applyBorder="false" applyAlignment="false" applyProtection="true">
      <alignment horizontal="general" vertical="bottom" textRotation="0" wrapText="false" indent="0" shrinkToFit="false"/>
      <protection locked="false" hidden="false"/>
    </xf>
    <xf numFmtId="164" fontId="0" fillId="0" borderId="6" xfId="0" applyFont="false" applyBorder="true" applyAlignment="false" applyProtection="true">
      <alignment horizontal="general" vertical="bottom" textRotation="0" wrapText="false" indent="0" shrinkToFit="false"/>
      <protection locked="false" hidden="false"/>
    </xf>
    <xf numFmtId="164" fontId="0" fillId="0" borderId="8" xfId="0" applyFont="false" applyBorder="true" applyAlignment="false" applyProtection="true">
      <alignment horizontal="general" vertical="bottom" textRotation="0" wrapText="false" indent="0" shrinkToFit="false"/>
      <protection locked="false" hidden="false"/>
    </xf>
    <xf numFmtId="164" fontId="0" fillId="0" borderId="103" xfId="0" applyFont="false" applyBorder="true" applyAlignment="false" applyProtection="false">
      <alignment horizontal="general" vertical="bottom" textRotation="0" wrapText="false" indent="0" shrinkToFit="false"/>
      <protection locked="true" hidden="false"/>
    </xf>
    <xf numFmtId="164" fontId="0" fillId="0" borderId="103" xfId="0" applyFont="false" applyBorder="true" applyAlignment="false" applyProtection="true">
      <alignment horizontal="general" vertical="bottom" textRotation="0" wrapText="false" indent="0" shrinkToFit="false"/>
      <protection locked="false" hidden="false"/>
    </xf>
    <xf numFmtId="164" fontId="9" fillId="0" borderId="43" xfId="0" applyFont="true" applyBorder="true" applyAlignment="false" applyProtection="false">
      <alignment horizontal="general" vertical="bottom" textRotation="0" wrapText="false" indent="0" shrinkToFit="false"/>
      <protection locked="true" hidden="false"/>
    </xf>
    <xf numFmtId="164" fontId="9" fillId="10" borderId="104" xfId="0" applyFont="true" applyBorder="true" applyAlignment="false" applyProtection="false">
      <alignment horizontal="general" vertical="bottom" textRotation="0" wrapText="false" indent="0" shrinkToFit="false"/>
      <protection locked="true" hidden="false"/>
    </xf>
    <xf numFmtId="164" fontId="9" fillId="10" borderId="104" xfId="0" applyFont="true" applyBorder="true" applyAlignment="false" applyProtection="true">
      <alignment horizontal="general" vertical="bottom" textRotation="0" wrapText="false" indent="0" shrinkToFit="false"/>
      <protection locked="false" hidden="false"/>
    </xf>
    <xf numFmtId="169" fontId="9" fillId="10" borderId="104" xfId="0" applyFont="true" applyBorder="true" applyAlignment="false" applyProtection="true">
      <alignment horizontal="general" vertical="bottom" textRotation="0" wrapText="false" indent="0" shrinkToFit="false"/>
      <protection locked="false" hidden="false"/>
    </xf>
    <xf numFmtId="164" fontId="9" fillId="10" borderId="43" xfId="0" applyFont="true" applyBorder="true" applyAlignment="false" applyProtection="true">
      <alignment horizontal="general" vertical="bottom" textRotation="0" wrapText="false" indent="0" shrinkToFit="false"/>
      <protection locked="false" hidden="false"/>
    </xf>
    <xf numFmtId="164" fontId="5" fillId="0" borderId="43" xfId="0" applyFont="true" applyBorder="true" applyAlignment="false" applyProtection="false">
      <alignment horizontal="general" vertical="bottom" textRotation="0" wrapText="false" indent="0" shrinkToFit="false"/>
      <protection locked="true" hidden="false"/>
    </xf>
    <xf numFmtId="165" fontId="5" fillId="10" borderId="44" xfId="0" applyFont="true" applyBorder="true" applyAlignment="false" applyProtection="true">
      <alignment horizontal="general" vertical="bottom" textRotation="0" wrapText="false" indent="0" shrinkToFit="false"/>
      <protection locked="false" hidden="false"/>
    </xf>
    <xf numFmtId="169" fontId="5" fillId="10" borderId="46" xfId="0" applyFont="true" applyBorder="true" applyAlignment="false" applyProtection="true">
      <alignment horizontal="general" vertical="bottom" textRotation="0" wrapText="false" indent="0" shrinkToFit="false"/>
      <protection locked="false" hidden="false"/>
    </xf>
    <xf numFmtId="164" fontId="0" fillId="0" borderId="105" xfId="0" applyFont="false" applyBorder="true" applyAlignment="false" applyProtection="true">
      <alignment horizontal="general" vertical="bottom" textRotation="0" wrapText="false" indent="0" shrinkToFit="false"/>
      <protection locked="false" hidden="false"/>
    </xf>
    <xf numFmtId="169" fontId="5" fillId="0" borderId="105" xfId="0" applyFont="true" applyBorder="true" applyAlignment="false" applyProtection="true">
      <alignment horizontal="general" vertical="bottom" textRotation="0" wrapText="false" indent="0" shrinkToFit="false"/>
      <protection locked="false" hidden="false"/>
    </xf>
    <xf numFmtId="164" fontId="9" fillId="10" borderId="106" xfId="0" applyFont="true" applyBorder="true" applyAlignment="false" applyProtection="false">
      <alignment horizontal="general" vertical="bottom" textRotation="0" wrapText="false" indent="0" shrinkToFit="false"/>
      <protection locked="true" hidden="false"/>
    </xf>
    <xf numFmtId="164" fontId="9" fillId="10" borderId="44" xfId="0" applyFont="true" applyBorder="true" applyAlignment="false" applyProtection="true">
      <alignment horizontal="general" vertical="bottom" textRotation="0" wrapText="false" indent="0" shrinkToFit="false"/>
      <protection locked="false" hidden="false"/>
    </xf>
    <xf numFmtId="164" fontId="9" fillId="10" borderId="0" xfId="0" applyFont="true" applyBorder="false" applyAlignment="false" applyProtection="true">
      <alignment horizontal="general" vertical="bottom" textRotation="0" wrapText="false" indent="0" shrinkToFit="false"/>
      <protection locked="false" hidden="false"/>
    </xf>
    <xf numFmtId="164" fontId="0" fillId="0" borderId="107" xfId="0" applyFont="false" applyBorder="true" applyAlignment="false" applyProtection="true">
      <alignment horizontal="general" vertical="bottom" textRotation="0" wrapText="false" indent="0" shrinkToFit="false"/>
      <protection locked="false" hidden="false"/>
    </xf>
    <xf numFmtId="169" fontId="5" fillId="10" borderId="103" xfId="0" applyFont="true" applyBorder="true" applyAlignment="false" applyProtection="true">
      <alignment horizontal="general" vertical="bottom" textRotation="0" wrapText="false" indent="0" shrinkToFit="false"/>
      <protection locked="false" hidden="false"/>
    </xf>
    <xf numFmtId="164" fontId="5" fillId="0" borderId="108" xfId="0" applyFont="true" applyBorder="true" applyAlignment="false" applyProtection="false">
      <alignment horizontal="general" vertical="bottom" textRotation="0" wrapText="false" indent="0" shrinkToFit="false"/>
      <protection locked="true" hidden="false"/>
    </xf>
    <xf numFmtId="164" fontId="0" fillId="0" borderId="34" xfId="0" applyFont="false" applyBorder="true" applyAlignment="false" applyProtection="true">
      <alignment horizontal="general" vertical="bottom" textRotation="0" wrapText="false" indent="0" shrinkToFit="false"/>
      <protection locked="false" hidden="false"/>
    </xf>
    <xf numFmtId="164" fontId="9" fillId="11" borderId="16" xfId="0" applyFont="true" applyBorder="true" applyAlignment="true" applyProtection="false">
      <alignment horizontal="center" vertical="bottom" textRotation="0" wrapText="false" indent="0" shrinkToFit="false"/>
      <protection locked="true" hidden="false"/>
    </xf>
    <xf numFmtId="164" fontId="51" fillId="4" borderId="1" xfId="24" applyFont="true" applyBorder="false" applyAlignment="true" applyProtection="true">
      <alignment horizontal="general" vertical="bottom" textRotation="0" wrapText="false" indent="0" shrinkToFit="false"/>
      <protection locked="true" hidden="false"/>
    </xf>
    <xf numFmtId="164" fontId="9" fillId="0" borderId="16" xfId="0" applyFont="true" applyBorder="true" applyAlignment="false" applyProtection="false">
      <alignment horizontal="general" vertical="bottom" textRotation="0" wrapText="false" indent="0" shrinkToFit="false"/>
      <protection locked="true" hidden="false"/>
    </xf>
    <xf numFmtId="164" fontId="52" fillId="4" borderId="1" xfId="24" applyFont="true" applyBorder="false" applyAlignment="true" applyProtection="tru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7" fontId="5" fillId="14" borderId="16" xfId="0" applyFont="true" applyBorder="true" applyAlignment="false" applyProtection="false">
      <alignment horizontal="general" vertical="bottom" textRotation="0" wrapText="false" indent="0" shrinkToFit="false"/>
      <protection locked="true" hidden="false"/>
    </xf>
    <xf numFmtId="167" fontId="9" fillId="14" borderId="16" xfId="0" applyFont="true" applyBorder="tru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9" fontId="5" fillId="14" borderId="0" xfId="0" applyFont="true" applyBorder="false" applyAlignment="false" applyProtection="false">
      <alignment horizontal="general" vertical="bottom" textRotation="0" wrapText="false" indent="0" shrinkToFit="false"/>
      <protection locked="true" hidden="false"/>
    </xf>
    <xf numFmtId="167" fontId="52" fillId="4" borderId="1" xfId="24" applyFont="false" applyBorder="false" applyAlignment="true" applyProtection="true">
      <alignment horizontal="general" vertical="bottom" textRotation="0" wrapText="false" indent="0" shrinkToFit="false"/>
      <protection locked="true" hidden="false"/>
    </xf>
    <xf numFmtId="170" fontId="52" fillId="4" borderId="1" xfId="24" applyFont="false" applyBorder="false" applyAlignment="true" applyProtection="true">
      <alignment horizontal="general" vertical="bottom" textRotation="0" wrapText="false" indent="0" shrinkToFit="false"/>
      <protection locked="true" hidden="false"/>
    </xf>
    <xf numFmtId="169" fontId="52" fillId="4" borderId="1" xfId="24" applyFont="false" applyBorder="false" applyAlignment="true" applyProtection="true">
      <alignment horizontal="general" vertical="bottom" textRotation="0" wrapText="false" indent="0" shrinkToFit="false"/>
      <protection locked="true" hidden="false"/>
    </xf>
    <xf numFmtId="179" fontId="5" fillId="14" borderId="0" xfId="0" applyFont="true" applyBorder="false" applyAlignment="false" applyProtection="false">
      <alignment horizontal="general" vertical="bottom" textRotation="0" wrapText="false" indent="0" shrinkToFit="false"/>
      <protection locked="true" hidden="false"/>
    </xf>
    <xf numFmtId="164" fontId="0" fillId="13" borderId="0" xfId="0" applyFont="false" applyBorder="false" applyAlignment="false" applyProtection="false">
      <alignment horizontal="general" vertical="bottom" textRotation="0" wrapText="false" indent="0" shrinkToFit="false"/>
      <protection locked="true" hidden="false"/>
    </xf>
    <xf numFmtId="167" fontId="52" fillId="13" borderId="1" xfId="24" applyFont="false" applyBorder="false" applyAlignment="true" applyProtection="true">
      <alignment horizontal="general" vertical="bottom" textRotation="0" wrapText="false" indent="0" shrinkToFit="false"/>
      <protection locked="true" hidden="false"/>
    </xf>
    <xf numFmtId="170" fontId="52" fillId="13" borderId="1" xfId="24" applyFont="false" applyBorder="false" applyAlignment="true" applyProtection="true">
      <alignment horizontal="general" vertical="bottom" textRotation="0" wrapText="false" indent="0" shrinkToFit="false"/>
      <protection locked="true" hidden="false"/>
    </xf>
    <xf numFmtId="169" fontId="5" fillId="13" borderId="0" xfId="0" applyFont="true" applyBorder="false" applyAlignment="false" applyProtection="false">
      <alignment horizontal="general" vertical="bottom" textRotation="0" wrapText="false" indent="0" shrinkToFit="false"/>
      <protection locked="true" hidden="false"/>
    </xf>
    <xf numFmtId="169" fontId="52" fillId="13" borderId="1" xfId="24" applyFont="false" applyBorder="false" applyAlignment="true" applyProtection="true">
      <alignment horizontal="general" vertical="bottom" textRotation="0" wrapText="false" indent="0" shrinkToFit="false"/>
      <protection locked="true" hidden="false"/>
    </xf>
    <xf numFmtId="179" fontId="5" fillId="13" borderId="0" xfId="0" applyFont="true" applyBorder="false" applyAlignment="false" applyProtection="false">
      <alignment horizontal="general" vertical="bottom" textRotation="0" wrapText="false" indent="0" shrinkToFit="false"/>
      <protection locked="true" hidden="false"/>
    </xf>
    <xf numFmtId="164" fontId="52" fillId="13" borderId="1" xfId="24" applyFont="true" applyBorder="false" applyAlignment="true" applyProtection="true">
      <alignment horizontal="general" vertical="bottom" textRotation="0" wrapText="false" indent="0" shrinkToFit="false"/>
      <protection locked="true" hidden="false"/>
    </xf>
    <xf numFmtId="169" fontId="9" fillId="0" borderId="0" xfId="0" applyFont="true" applyBorder="false" applyAlignment="false" applyProtection="false">
      <alignment horizontal="general" vertical="bottom" textRotation="0" wrapText="false" indent="0" shrinkToFit="false"/>
      <protection locked="true" hidden="false"/>
    </xf>
    <xf numFmtId="164" fontId="11" fillId="13" borderId="0" xfId="0" applyFont="true" applyBorder="false" applyAlignment="false" applyProtection="false">
      <alignment horizontal="general" vertical="bottom" textRotation="0" wrapText="false" indent="0" shrinkToFit="false"/>
      <protection locked="true" hidden="false"/>
    </xf>
    <xf numFmtId="164" fontId="5" fillId="0" borderId="0" xfId="21" applyFont="true" applyBorder="false" applyAlignment="false" applyProtection="false">
      <alignment horizontal="general" vertical="bottom" textRotation="0" wrapText="false" indent="0" shrinkToFit="false"/>
      <protection locked="true" hidden="false"/>
    </xf>
    <xf numFmtId="168" fontId="9" fillId="17" borderId="0" xfId="21" applyFont="true" applyBorder="false" applyAlignment="false" applyProtection="false">
      <alignment horizontal="general" vertical="bottom" textRotation="0" wrapText="false" indent="0" shrinkToFit="false"/>
      <protection locked="true" hidden="false"/>
    </xf>
    <xf numFmtId="171" fontId="9" fillId="17" borderId="0" xfId="21" applyFont="true" applyBorder="false" applyAlignment="false" applyProtection="false">
      <alignment horizontal="general" vertical="bottom" textRotation="0" wrapText="false" indent="0" shrinkToFit="false"/>
      <protection locked="true" hidden="false"/>
    </xf>
    <xf numFmtId="172" fontId="22" fillId="17" borderId="0" xfId="21" applyFont="true" applyBorder="false" applyAlignment="false" applyProtection="false">
      <alignment horizontal="general" vertical="bottom" textRotation="0" wrapText="false" indent="0" shrinkToFit="false"/>
      <protection locked="true" hidden="false"/>
    </xf>
    <xf numFmtId="164" fontId="9" fillId="0" borderId="0" xfId="21" applyFont="true" applyBorder="false" applyAlignment="false" applyProtection="false">
      <alignment horizontal="general" vertical="bottom" textRotation="0" wrapText="false" indent="0" shrinkToFit="false"/>
      <protection locked="true" hidden="false"/>
    </xf>
    <xf numFmtId="164" fontId="51" fillId="4" borderId="35" xfId="24" applyFont="true" applyBorder="true" applyAlignment="true" applyProtection="true">
      <alignment horizontal="general" vertical="bottom" textRotation="0" wrapText="false" indent="0" shrinkToFit="false"/>
      <protection locked="true" hidden="false"/>
    </xf>
    <xf numFmtId="164" fontId="51" fillId="4" borderId="18" xfId="24" applyFont="true" applyBorder="true" applyAlignment="true" applyProtection="true">
      <alignment horizontal="general" vertical="bottom" textRotation="0" wrapText="false" indent="0" shrinkToFit="false"/>
      <protection locked="true" hidden="false"/>
    </xf>
    <xf numFmtId="164" fontId="51" fillId="4" borderId="23" xfId="24" applyFont="true" applyBorder="true" applyAlignment="true" applyProtection="true">
      <alignment horizontal="general" vertical="bottom" textRotation="0" wrapText="false" indent="0" shrinkToFit="false"/>
      <protection locked="true" hidden="false"/>
    </xf>
    <xf numFmtId="164" fontId="13" fillId="14" borderId="0" xfId="21" applyFont="true" applyBorder="false" applyAlignment="false" applyProtection="false">
      <alignment horizontal="general" vertical="bottom" textRotation="0" wrapText="false" indent="0" shrinkToFit="false"/>
      <protection locked="true" hidden="false"/>
    </xf>
    <xf numFmtId="170" fontId="5" fillId="14" borderId="0" xfId="0" applyFont="true" applyBorder="false" applyAlignment="false" applyProtection="false">
      <alignment horizontal="general" vertical="bottom" textRotation="0" wrapText="false" indent="0" shrinkToFit="false"/>
      <protection locked="true" hidden="false"/>
    </xf>
    <xf numFmtId="169" fontId="13" fillId="14" borderId="0" xfId="21" applyFont="true" applyBorder="false" applyAlignment="false" applyProtection="false">
      <alignment horizontal="general" vertical="bottom" textRotation="0" wrapText="false" indent="0" shrinkToFit="false"/>
      <protection locked="true" hidden="false"/>
    </xf>
    <xf numFmtId="164" fontId="4" fillId="0" borderId="0" xfId="21" applyFont="false" applyBorder="false" applyAlignment="false" applyProtection="false">
      <alignment horizontal="general" vertical="bottom" textRotation="0" wrapText="false" indent="0" shrinkToFit="false"/>
      <protection locked="true" hidden="false"/>
    </xf>
    <xf numFmtId="172" fontId="0" fillId="0" borderId="0" xfId="0" applyFont="false" applyBorder="false" applyAlignment="false" applyProtection="false">
      <alignment horizontal="general" vertical="bottom" textRotation="0" wrapText="fals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Excel Built-in 20% - Accent2" xfId="22"/>
    <cellStyle name="*unknown*" xfId="20" builtinId="8"/>
    <cellStyle name="Excel Built-in Neutral" xfId="23"/>
    <cellStyle name="Excel Built-in Calculation" xfId="24"/>
  </cellStyles>
  <dxfs count="10">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
      <font>
        <b val="1"/>
        <i val="0"/>
        <color rgb="FFFFFFFF"/>
      </font>
      <fill>
        <patternFill>
          <bgColor rgb="FFD40963"/>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9C6500"/>
      <rgbColor rgb="FF870052"/>
      <rgbColor rgb="FF008080"/>
      <rgbColor rgb="FFBFBFBF"/>
      <rgbColor rgb="FF7F7F7F"/>
      <rgbColor rgb="FF9999FF"/>
      <rgbColor rgb="FFD40963"/>
      <rgbColor rgb="FFF2F2F2"/>
      <rgbColor rgb="FFC5F0F2"/>
      <rgbColor rgb="FF660066"/>
      <rgbColor rgb="FFFF8080"/>
      <rgbColor rgb="FF0070C0"/>
      <rgbColor rgb="FFD9D9D9"/>
      <rgbColor rgb="FF000080"/>
      <rgbColor rgb="FFFF00FF"/>
      <rgbColor rgb="FFFFFF00"/>
      <rgbColor rgb="FF00FFFF"/>
      <rgbColor rgb="FF800080"/>
      <rgbColor rgb="FF800000"/>
      <rgbColor rgb="FF008080"/>
      <rgbColor rgb="FF0000FF"/>
      <rgbColor rgb="FF00CCFF"/>
      <rgbColor rgb="FFE9F6F6"/>
      <rgbColor rgb="FFECFAFB"/>
      <rgbColor rgb="FFFFEB9C"/>
      <rgbColor rgb="FFBCE3E5"/>
      <rgbColor rgb="FFFF99CC"/>
      <rgbColor rgb="FFCC99FF"/>
      <rgbColor rgb="FFF3EEF0"/>
      <rgbColor rgb="FF3366FF"/>
      <rgbColor rgb="FF4FD1D7"/>
      <rgbColor rgb="FFB0CA3B"/>
      <rgbColor rgb="FFFFCC00"/>
      <rgbColor rgb="FFFF9900"/>
      <rgbColor rgb="FFFA7D00"/>
      <rgbColor rgb="FF737373"/>
      <rgbColor rgb="FFA6A6A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1.vml"/>
</Relationships>
</file>

<file path=xl/worksheets/_rels/sheet8.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3" activeCellId="0" sqref="D13"/>
    </sheetView>
  </sheetViews>
  <sheetFormatPr defaultColWidth="8.6015625" defaultRowHeight="14.25" zeroHeight="false" outlineLevelRow="0" outlineLevelCol="0"/>
  <sheetData>
    <row r="1" customFormat="false" ht="14.25" hidden="false" customHeight="false" outlineLevel="0" collapsed="false">
      <c r="A1" s="1" t="n">
        <f aca="false">2023</f>
        <v>2023</v>
      </c>
      <c r="C1" s="2" t="n">
        <v>0</v>
      </c>
      <c r="E1" s="3" t="n">
        <v>-0.05</v>
      </c>
      <c r="G1" s="4" t="s">
        <v>0</v>
      </c>
    </row>
    <row r="2" customFormat="false" ht="14.25" hidden="false" customHeight="false" outlineLevel="0" collapsed="false">
      <c r="A2" s="1" t="n">
        <f aca="false">A1+1</f>
        <v>2024</v>
      </c>
      <c r="C2" s="2" t="n">
        <f aca="false">C1+0.01</f>
        <v>0.01</v>
      </c>
      <c r="E2" s="5" t="n">
        <f aca="false">E1+0.01</f>
        <v>-0.04</v>
      </c>
      <c r="G2" s="4" t="s">
        <v>1</v>
      </c>
    </row>
    <row r="3" customFormat="false" ht="14.25" hidden="false" customHeight="false" outlineLevel="0" collapsed="false">
      <c r="A3" s="1" t="n">
        <f aca="false">A2+1</f>
        <v>2025</v>
      </c>
      <c r="C3" s="2" t="n">
        <f aca="false">C2+0.01</f>
        <v>0.02</v>
      </c>
      <c r="E3" s="5" t="n">
        <f aca="false">E2+0.01</f>
        <v>-0.03</v>
      </c>
      <c r="G3" s="4" t="s">
        <v>2</v>
      </c>
    </row>
    <row r="4" customFormat="false" ht="14.25" hidden="false" customHeight="false" outlineLevel="0" collapsed="false">
      <c r="A4" s="1" t="n">
        <f aca="false">A3+1</f>
        <v>2026</v>
      </c>
      <c r="C4" s="2" t="n">
        <f aca="false">C3+0.01</f>
        <v>0.03</v>
      </c>
      <c r="E4" s="5" t="n">
        <f aca="false">E3+0.01</f>
        <v>-0.02</v>
      </c>
      <c r="G4" s="4" t="s">
        <v>3</v>
      </c>
    </row>
    <row r="5" customFormat="false" ht="14.25" hidden="false" customHeight="false" outlineLevel="0" collapsed="false">
      <c r="A5" s="1" t="n">
        <f aca="false">A4+1</f>
        <v>2027</v>
      </c>
      <c r="C5" s="2" t="n">
        <f aca="false">C4+0.01</f>
        <v>0.04</v>
      </c>
      <c r="E5" s="5" t="n">
        <f aca="false">E4+0.01</f>
        <v>-0.01</v>
      </c>
      <c r="G5" s="4" t="s">
        <v>4</v>
      </c>
    </row>
    <row r="6" customFormat="false" ht="14.25" hidden="false" customHeight="false" outlineLevel="0" collapsed="false">
      <c r="A6" s="1" t="n">
        <f aca="false">A5+1</f>
        <v>2028</v>
      </c>
      <c r="C6" s="2" t="n">
        <f aca="false">C5+0.01</f>
        <v>0.05</v>
      </c>
      <c r="E6" s="5" t="n">
        <f aca="false">E5+0.01</f>
        <v>0</v>
      </c>
      <c r="G6" s="4" t="s">
        <v>5</v>
      </c>
    </row>
    <row r="7" customFormat="false" ht="14.25" hidden="false" customHeight="false" outlineLevel="0" collapsed="false">
      <c r="A7" s="1" t="n">
        <f aca="false">A6+1</f>
        <v>2029</v>
      </c>
      <c r="C7" s="2" t="n">
        <f aca="false">C6+0.01</f>
        <v>0.06</v>
      </c>
      <c r="E7" s="5" t="n">
        <f aca="false">E6+0.01</f>
        <v>0.01</v>
      </c>
      <c r="G7" s="4" t="s">
        <v>6</v>
      </c>
    </row>
    <row r="8" customFormat="false" ht="14.25" hidden="false" customHeight="false" outlineLevel="0" collapsed="false">
      <c r="A8" s="1" t="n">
        <f aca="false">A7+1</f>
        <v>2030</v>
      </c>
      <c r="C8" s="2" t="n">
        <f aca="false">C7+0.01</f>
        <v>0.07</v>
      </c>
      <c r="E8" s="5" t="n">
        <f aca="false">E7+0.01</f>
        <v>0.02</v>
      </c>
      <c r="G8" s="4" t="s">
        <v>7</v>
      </c>
    </row>
    <row r="9" customFormat="false" ht="14.25" hidden="false" customHeight="false" outlineLevel="0" collapsed="false">
      <c r="A9" s="1" t="n">
        <f aca="false">A8+1</f>
        <v>2031</v>
      </c>
      <c r="C9" s="2" t="n">
        <f aca="false">C8+0.01</f>
        <v>0.08</v>
      </c>
      <c r="E9" s="5" t="n">
        <f aca="false">E8+0.01</f>
        <v>0.03</v>
      </c>
      <c r="G9" s="4" t="s">
        <v>8</v>
      </c>
    </row>
    <row r="10" customFormat="false" ht="14.25" hidden="false" customHeight="false" outlineLevel="0" collapsed="false">
      <c r="A10" s="1" t="n">
        <f aca="false">A9+1</f>
        <v>2032</v>
      </c>
      <c r="C10" s="2" t="n">
        <f aca="false">C9+0.01</f>
        <v>0.09</v>
      </c>
      <c r="E10" s="5" t="n">
        <f aca="false">E9+0.01</f>
        <v>0.04</v>
      </c>
      <c r="G10" s="4" t="s">
        <v>9</v>
      </c>
    </row>
    <row r="11" customFormat="false" ht="14.25" hidden="false" customHeight="false" outlineLevel="0" collapsed="false">
      <c r="A11" s="1" t="n">
        <f aca="false">A10+1</f>
        <v>2033</v>
      </c>
      <c r="C11" s="2" t="n">
        <f aca="false">C10+0.01</f>
        <v>0.1</v>
      </c>
      <c r="E11" s="5" t="n">
        <f aca="false">E10+0.01</f>
        <v>0.05</v>
      </c>
      <c r="G11" s="4" t="s">
        <v>10</v>
      </c>
    </row>
    <row r="12" customFormat="false" ht="14.25" hidden="false" customHeight="false" outlineLevel="0" collapsed="false">
      <c r="A12" s="1" t="n">
        <f aca="false">A11+1</f>
        <v>2034</v>
      </c>
      <c r="C12" s="2"/>
      <c r="E12" s="2"/>
      <c r="G12" s="4" t="s">
        <v>11</v>
      </c>
    </row>
    <row r="13" customFormat="false" ht="14.25" hidden="false" customHeight="false" outlineLevel="0" collapsed="false">
      <c r="A13" s="1" t="n">
        <f aca="false">A12+1</f>
        <v>2035</v>
      </c>
      <c r="E13" s="2"/>
    </row>
    <row r="14" customFormat="false" ht="14.25" hidden="false" customHeight="false" outlineLevel="0" collapsed="false">
      <c r="A14" s="1" t="n">
        <f aca="false">A13+1</f>
        <v>2036</v>
      </c>
      <c r="E14" s="2"/>
    </row>
    <row r="15" customFormat="false" ht="14.25" hidden="false" customHeight="false" outlineLevel="0" collapsed="false">
      <c r="A15" s="1" t="n">
        <f aca="false">A14+1</f>
        <v>2037</v>
      </c>
      <c r="E15" s="2"/>
    </row>
    <row r="16" customFormat="false" ht="14.25" hidden="false" customHeight="false" outlineLevel="0" collapsed="false">
      <c r="A16" s="1" t="n">
        <f aca="false">A15+1</f>
        <v>2038</v>
      </c>
      <c r="E16" s="2"/>
    </row>
    <row r="17" customFormat="false" ht="14.25" hidden="false" customHeight="false" outlineLevel="0" collapsed="false">
      <c r="A17" s="1" t="n">
        <f aca="false">A16+1</f>
        <v>2039</v>
      </c>
      <c r="E17" s="2"/>
    </row>
    <row r="18" customFormat="false" ht="14.25" hidden="false" customHeight="false" outlineLevel="0" collapsed="false">
      <c r="A18" s="1" t="n">
        <f aca="false">A17+1</f>
        <v>2040</v>
      </c>
      <c r="E18" s="2"/>
    </row>
    <row r="19" customFormat="false" ht="14.25" hidden="false" customHeight="false" outlineLevel="0" collapsed="false">
      <c r="A19" s="1" t="n">
        <f aca="false">A18+1</f>
        <v>2041</v>
      </c>
      <c r="E19" s="2"/>
    </row>
    <row r="20" customFormat="false" ht="14.25" hidden="false" customHeight="false" outlineLevel="0" collapsed="false">
      <c r="A20" s="1" t="n">
        <f aca="false">A19+1</f>
        <v>2042</v>
      </c>
      <c r="E20" s="2"/>
    </row>
    <row r="21" customFormat="false" ht="14.25" hidden="false" customHeight="false" outlineLevel="0" collapsed="false">
      <c r="E21" s="2"/>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Z177"/>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B6" activeCellId="0" sqref="B6"/>
    </sheetView>
  </sheetViews>
  <sheetFormatPr defaultColWidth="8.73046875" defaultRowHeight="12" zeroHeight="false" outlineLevelRow="2" outlineLevelCol="1"/>
  <cols>
    <col collapsed="false" customWidth="true" hidden="false" outlineLevel="0" max="1" min="1" style="6" width="2.75"/>
    <col collapsed="false" customWidth="true" hidden="false" outlineLevel="0" max="2" min="2" style="6" width="2.5"/>
    <col collapsed="false" customWidth="true" hidden="false" outlineLevel="0" max="3" min="3" style="6" width="23.87"/>
    <col collapsed="false" customWidth="true" hidden="false" outlineLevel="0" max="4" min="4" style="6" width="10.87"/>
    <col collapsed="false" customWidth="true" hidden="false" outlineLevel="0" max="5" min="5" style="6" width="24"/>
    <col collapsed="false" customWidth="true" hidden="false" outlineLevel="0" max="6" min="6" style="6" width="11.38"/>
    <col collapsed="false" customWidth="true" hidden="false" outlineLevel="0" max="7" min="7" style="6" width="14"/>
    <col collapsed="false" customWidth="true" hidden="false" outlineLevel="0" max="8" min="8" style="6" width="5.87"/>
    <col collapsed="false" customWidth="true" hidden="false" outlineLevel="0" max="9" min="9" style="6" width="15.75"/>
    <col collapsed="false" customWidth="true" hidden="false" outlineLevel="1" max="10" min="10" style="6" width="5.87"/>
    <col collapsed="false" customWidth="true" hidden="false" outlineLevel="1" max="11" min="11" style="6" width="15.75"/>
    <col collapsed="false" customWidth="true" hidden="false" outlineLevel="1" max="12" min="12" style="6" width="5.87"/>
    <col collapsed="false" customWidth="true" hidden="false" outlineLevel="1" max="13" min="13" style="6" width="15.75"/>
    <col collapsed="false" customWidth="true" hidden="false" outlineLevel="1" max="14" min="14" style="6" width="5.87"/>
    <col collapsed="false" customWidth="true" hidden="false" outlineLevel="1" max="15" min="15" style="6" width="15.75"/>
    <col collapsed="false" customWidth="true" hidden="false" outlineLevel="1" max="16" min="16" style="6" width="5.87"/>
    <col collapsed="false" customWidth="true" hidden="false" outlineLevel="1" max="17" min="17" style="6" width="15.75"/>
    <col collapsed="false" customWidth="true" hidden="false" outlineLevel="0" max="19" min="18" style="6" width="3.38"/>
    <col collapsed="false" customWidth="true" hidden="false" outlineLevel="0" max="20" min="20" style="6" width="2.38"/>
    <col collapsed="false" customWidth="false" hidden="false" outlineLevel="0" max="26" min="21" style="6" width="8.74"/>
    <col collapsed="false" customWidth="true" hidden="false" outlineLevel="0" max="27" min="27" style="7" width="27.74"/>
    <col collapsed="false" customWidth="false" hidden="false" outlineLevel="0" max="1024" min="28" style="7" width="8.74"/>
  </cols>
  <sheetData>
    <row r="1" customFormat="false" ht="26.25" hidden="false" customHeight="false" outlineLevel="0" collapsed="false">
      <c r="B1" s="8" t="s">
        <v>12</v>
      </c>
      <c r="C1" s="8"/>
      <c r="D1" s="8"/>
      <c r="E1" s="8"/>
      <c r="F1" s="8"/>
      <c r="G1" s="8"/>
      <c r="H1" s="8"/>
      <c r="I1" s="8"/>
      <c r="J1" s="8"/>
      <c r="K1" s="8"/>
      <c r="L1" s="8"/>
      <c r="M1" s="8"/>
      <c r="N1" s="8"/>
      <c r="O1" s="8"/>
      <c r="P1" s="8"/>
      <c r="Q1" s="8"/>
      <c r="R1" s="8"/>
      <c r="S1" s="9"/>
      <c r="T1" s="9"/>
      <c r="U1" s="10"/>
      <c r="V1" s="10"/>
      <c r="W1" s="10"/>
      <c r="X1" s="10"/>
      <c r="Y1" s="10"/>
      <c r="Z1" s="10"/>
    </row>
    <row r="2" s="11" customFormat="true" ht="15" hidden="false" customHeight="false" outlineLevel="0" collapsed="false">
      <c r="U2" s="12"/>
      <c r="V2" s="12"/>
      <c r="W2" s="12"/>
      <c r="X2" s="12"/>
      <c r="Y2" s="12"/>
      <c r="Z2" s="12"/>
    </row>
    <row r="3" s="11" customFormat="true" ht="14.45" hidden="false" customHeight="true" outlineLevel="0" collapsed="false">
      <c r="U3" s="13" t="s">
        <v>13</v>
      </c>
      <c r="V3" s="13"/>
      <c r="W3" s="13"/>
      <c r="X3" s="13"/>
      <c r="Y3" s="13"/>
      <c r="Z3" s="13"/>
    </row>
    <row r="4" s="11" customFormat="true" ht="14.25" hidden="false" customHeight="false" outlineLevel="0" collapsed="false">
      <c r="U4" s="13"/>
      <c r="V4" s="13"/>
      <c r="W4" s="13"/>
      <c r="X4" s="13"/>
      <c r="Y4" s="13"/>
      <c r="Z4" s="13"/>
    </row>
    <row r="5" s="11" customFormat="true" ht="15" hidden="false" customHeight="false" outlineLevel="0" collapsed="false">
      <c r="U5" s="13"/>
      <c r="V5" s="13"/>
      <c r="W5" s="13"/>
      <c r="X5" s="13"/>
      <c r="Y5" s="13"/>
      <c r="Z5" s="13"/>
    </row>
    <row r="6" customFormat="false" ht="13.9" hidden="false" customHeight="true" outlineLevel="0" collapsed="false">
      <c r="A6" s="11"/>
      <c r="B6" s="14" t="s">
        <v>14</v>
      </c>
      <c r="C6" s="14"/>
      <c r="D6" s="14"/>
      <c r="E6" s="14"/>
      <c r="F6" s="14"/>
      <c r="G6" s="14"/>
      <c r="H6" s="14"/>
      <c r="I6" s="14"/>
      <c r="J6" s="14"/>
      <c r="K6" s="14"/>
      <c r="L6" s="14"/>
      <c r="M6" s="14"/>
      <c r="N6" s="14"/>
      <c r="O6" s="14"/>
      <c r="P6" s="14"/>
      <c r="Q6" s="14"/>
      <c r="R6" s="14"/>
      <c r="S6" s="11"/>
      <c r="T6" s="15"/>
      <c r="U6" s="13"/>
      <c r="V6" s="13"/>
      <c r="W6" s="13"/>
      <c r="X6" s="13"/>
      <c r="Y6" s="13"/>
      <c r="Z6" s="13"/>
    </row>
    <row r="7" customFormat="false" ht="12" hidden="false" customHeight="true" outlineLevel="0" collapsed="false">
      <c r="B7" s="14"/>
      <c r="C7" s="14"/>
      <c r="D7" s="14"/>
      <c r="E7" s="14"/>
      <c r="F7" s="14"/>
      <c r="G7" s="14"/>
      <c r="H7" s="14"/>
      <c r="I7" s="14"/>
      <c r="J7" s="14"/>
      <c r="K7" s="14"/>
      <c r="L7" s="14"/>
      <c r="M7" s="14"/>
      <c r="N7" s="14"/>
      <c r="O7" s="14"/>
      <c r="P7" s="14"/>
      <c r="Q7" s="14"/>
      <c r="R7" s="14"/>
      <c r="S7" s="11"/>
      <c r="T7" s="15"/>
      <c r="U7" s="13"/>
      <c r="V7" s="13"/>
      <c r="W7" s="13"/>
      <c r="X7" s="13"/>
      <c r="Y7" s="13"/>
      <c r="Z7" s="13"/>
    </row>
    <row r="8" customFormat="false" ht="12" hidden="false" customHeight="true" outlineLevel="0" collapsed="false">
      <c r="B8" s="14"/>
      <c r="C8" s="14"/>
      <c r="D8" s="14"/>
      <c r="E8" s="14"/>
      <c r="F8" s="14"/>
      <c r="G8" s="14"/>
      <c r="H8" s="14"/>
      <c r="I8" s="14"/>
      <c r="J8" s="14"/>
      <c r="K8" s="14"/>
      <c r="L8" s="14"/>
      <c r="M8" s="14"/>
      <c r="N8" s="14"/>
      <c r="O8" s="14"/>
      <c r="P8" s="14"/>
      <c r="Q8" s="14"/>
      <c r="R8" s="14"/>
      <c r="S8" s="11"/>
      <c r="T8" s="15"/>
      <c r="U8" s="13"/>
      <c r="V8" s="13"/>
      <c r="W8" s="13"/>
      <c r="X8" s="13"/>
      <c r="Y8" s="13"/>
      <c r="Z8" s="13"/>
    </row>
    <row r="9" customFormat="false" ht="12" hidden="false" customHeight="true" outlineLevel="0" collapsed="false">
      <c r="B9" s="14"/>
      <c r="C9" s="14"/>
      <c r="D9" s="14"/>
      <c r="E9" s="14"/>
      <c r="F9" s="14"/>
      <c r="G9" s="14"/>
      <c r="H9" s="14"/>
      <c r="I9" s="14"/>
      <c r="J9" s="14"/>
      <c r="K9" s="14"/>
      <c r="L9" s="14"/>
      <c r="M9" s="14"/>
      <c r="N9" s="14"/>
      <c r="O9" s="14"/>
      <c r="P9" s="14"/>
      <c r="Q9" s="14"/>
      <c r="R9" s="14"/>
      <c r="S9" s="11"/>
      <c r="T9" s="15"/>
      <c r="U9" s="13"/>
      <c r="V9" s="13"/>
      <c r="W9" s="13"/>
      <c r="X9" s="13"/>
      <c r="Y9" s="13"/>
      <c r="Z9" s="13"/>
    </row>
    <row r="10" customFormat="false" ht="12" hidden="false" customHeight="true" outlineLevel="0" collapsed="false">
      <c r="B10" s="14"/>
      <c r="C10" s="14"/>
      <c r="D10" s="14"/>
      <c r="E10" s="14"/>
      <c r="F10" s="14"/>
      <c r="G10" s="14"/>
      <c r="H10" s="14"/>
      <c r="I10" s="14"/>
      <c r="J10" s="14"/>
      <c r="K10" s="14"/>
      <c r="L10" s="14"/>
      <c r="M10" s="14"/>
      <c r="N10" s="14"/>
      <c r="O10" s="14"/>
      <c r="P10" s="14"/>
      <c r="Q10" s="14"/>
      <c r="R10" s="14"/>
      <c r="S10" s="11"/>
      <c r="T10" s="15"/>
      <c r="U10" s="13"/>
      <c r="V10" s="13"/>
      <c r="W10" s="13"/>
      <c r="X10" s="13"/>
      <c r="Y10" s="13"/>
      <c r="Z10" s="13"/>
    </row>
    <row r="11" customFormat="false" ht="12" hidden="false" customHeight="true" outlineLevel="0" collapsed="false">
      <c r="B11" s="14"/>
      <c r="C11" s="14"/>
      <c r="D11" s="14"/>
      <c r="E11" s="14"/>
      <c r="F11" s="14"/>
      <c r="G11" s="14"/>
      <c r="H11" s="14"/>
      <c r="I11" s="14"/>
      <c r="J11" s="14"/>
      <c r="K11" s="14"/>
      <c r="L11" s="14"/>
      <c r="M11" s="14"/>
      <c r="N11" s="14"/>
      <c r="O11" s="14"/>
      <c r="P11" s="14"/>
      <c r="Q11" s="14"/>
      <c r="R11" s="14"/>
      <c r="S11" s="11"/>
      <c r="T11" s="15"/>
      <c r="U11" s="13"/>
      <c r="V11" s="13"/>
      <c r="W11" s="13"/>
      <c r="X11" s="13"/>
      <c r="Y11" s="13"/>
      <c r="Z11" s="13"/>
    </row>
    <row r="12" customFormat="false" ht="12" hidden="false" customHeight="true" outlineLevel="0" collapsed="false">
      <c r="B12" s="14"/>
      <c r="C12" s="14"/>
      <c r="D12" s="14"/>
      <c r="E12" s="14"/>
      <c r="F12" s="14"/>
      <c r="G12" s="14"/>
      <c r="H12" s="14"/>
      <c r="I12" s="14"/>
      <c r="J12" s="14"/>
      <c r="K12" s="14"/>
      <c r="L12" s="14"/>
      <c r="M12" s="14"/>
      <c r="N12" s="14"/>
      <c r="O12" s="14"/>
      <c r="P12" s="14"/>
      <c r="Q12" s="14"/>
      <c r="R12" s="14"/>
      <c r="S12" s="11"/>
      <c r="T12" s="15"/>
      <c r="U12" s="13"/>
      <c r="V12" s="13"/>
      <c r="W12" s="13"/>
      <c r="X12" s="13"/>
      <c r="Y12" s="13"/>
      <c r="Z12" s="13"/>
    </row>
    <row r="13" customFormat="false" ht="12" hidden="false" customHeight="true" outlineLevel="0" collapsed="false">
      <c r="B13" s="14"/>
      <c r="C13" s="14"/>
      <c r="D13" s="14"/>
      <c r="E13" s="14"/>
      <c r="F13" s="14"/>
      <c r="G13" s="14"/>
      <c r="H13" s="14"/>
      <c r="I13" s="14"/>
      <c r="J13" s="14"/>
      <c r="K13" s="14"/>
      <c r="L13" s="14"/>
      <c r="M13" s="14"/>
      <c r="N13" s="14"/>
      <c r="O13" s="14"/>
      <c r="P13" s="14"/>
      <c r="Q13" s="14"/>
      <c r="R13" s="14"/>
      <c r="S13" s="11"/>
      <c r="T13" s="15"/>
      <c r="U13" s="13"/>
      <c r="V13" s="13"/>
      <c r="W13" s="13"/>
      <c r="X13" s="13"/>
      <c r="Y13" s="13"/>
      <c r="Z13" s="13"/>
    </row>
    <row r="14" customFormat="false" ht="12" hidden="false" customHeight="true" outlineLevel="0" collapsed="false">
      <c r="B14" s="14"/>
      <c r="C14" s="14"/>
      <c r="D14" s="14"/>
      <c r="E14" s="14"/>
      <c r="F14" s="14"/>
      <c r="G14" s="14"/>
      <c r="H14" s="14"/>
      <c r="I14" s="14"/>
      <c r="J14" s="14"/>
      <c r="K14" s="14"/>
      <c r="L14" s="14"/>
      <c r="M14" s="14"/>
      <c r="N14" s="14"/>
      <c r="O14" s="14"/>
      <c r="P14" s="14"/>
      <c r="Q14" s="14"/>
      <c r="R14" s="14"/>
      <c r="S14" s="11"/>
      <c r="T14" s="15"/>
      <c r="U14" s="13"/>
      <c r="V14" s="13"/>
      <c r="W14" s="13"/>
      <c r="X14" s="13"/>
      <c r="Y14" s="13"/>
      <c r="Z14" s="13"/>
    </row>
    <row r="15" customFormat="false" ht="12" hidden="false" customHeight="true" outlineLevel="0" collapsed="false">
      <c r="B15" s="14"/>
      <c r="C15" s="14"/>
      <c r="D15" s="14"/>
      <c r="E15" s="14"/>
      <c r="F15" s="14"/>
      <c r="G15" s="14"/>
      <c r="H15" s="14"/>
      <c r="I15" s="14"/>
      <c r="J15" s="14"/>
      <c r="K15" s="14"/>
      <c r="L15" s="14"/>
      <c r="M15" s="14"/>
      <c r="N15" s="14"/>
      <c r="O15" s="14"/>
      <c r="P15" s="14"/>
      <c r="Q15" s="14"/>
      <c r="R15" s="14"/>
      <c r="S15" s="11"/>
      <c r="T15" s="15"/>
      <c r="U15" s="13"/>
      <c r="V15" s="13"/>
      <c r="W15" s="13"/>
      <c r="X15" s="13"/>
      <c r="Y15" s="13"/>
      <c r="Z15" s="13"/>
    </row>
    <row r="16" customFormat="false" ht="12" hidden="false" customHeight="true" outlineLevel="0" collapsed="false">
      <c r="B16" s="14"/>
      <c r="C16" s="14"/>
      <c r="D16" s="14"/>
      <c r="E16" s="14"/>
      <c r="F16" s="14"/>
      <c r="G16" s="14"/>
      <c r="H16" s="14"/>
      <c r="I16" s="14"/>
      <c r="J16" s="14"/>
      <c r="K16" s="14"/>
      <c r="L16" s="14"/>
      <c r="M16" s="14"/>
      <c r="N16" s="14"/>
      <c r="O16" s="14"/>
      <c r="P16" s="14"/>
      <c r="Q16" s="14"/>
      <c r="R16" s="14"/>
      <c r="S16" s="11"/>
      <c r="T16" s="15"/>
      <c r="U16" s="13"/>
      <c r="V16" s="13"/>
      <c r="W16" s="13"/>
      <c r="X16" s="13"/>
      <c r="Y16" s="13"/>
      <c r="Z16" s="13"/>
    </row>
    <row r="17" customFormat="false" ht="12" hidden="false" customHeight="true" outlineLevel="0" collapsed="false">
      <c r="B17" s="14"/>
      <c r="C17" s="14"/>
      <c r="D17" s="14"/>
      <c r="E17" s="14"/>
      <c r="F17" s="14"/>
      <c r="G17" s="14"/>
      <c r="H17" s="14"/>
      <c r="I17" s="14"/>
      <c r="J17" s="14"/>
      <c r="K17" s="14"/>
      <c r="L17" s="14"/>
      <c r="M17" s="14"/>
      <c r="N17" s="14"/>
      <c r="O17" s="14"/>
      <c r="P17" s="14"/>
      <c r="Q17" s="14"/>
      <c r="R17" s="14"/>
      <c r="S17" s="11"/>
      <c r="T17" s="15"/>
      <c r="U17" s="13"/>
      <c r="V17" s="13"/>
      <c r="W17" s="13"/>
      <c r="X17" s="13"/>
      <c r="Y17" s="13"/>
      <c r="Z17" s="13"/>
    </row>
    <row r="18" customFormat="false" ht="12" hidden="false" customHeight="true" outlineLevel="0" collapsed="false">
      <c r="B18" s="14"/>
      <c r="C18" s="14"/>
      <c r="D18" s="14"/>
      <c r="E18" s="14"/>
      <c r="F18" s="14"/>
      <c r="G18" s="14"/>
      <c r="H18" s="14"/>
      <c r="I18" s="14"/>
      <c r="J18" s="14"/>
      <c r="K18" s="14"/>
      <c r="L18" s="14"/>
      <c r="M18" s="14"/>
      <c r="N18" s="14"/>
      <c r="O18" s="14"/>
      <c r="P18" s="14"/>
      <c r="Q18" s="14"/>
      <c r="R18" s="14"/>
      <c r="S18" s="11"/>
      <c r="T18" s="15"/>
      <c r="U18" s="13"/>
      <c r="V18" s="13"/>
      <c r="W18" s="13"/>
      <c r="X18" s="13"/>
      <c r="Y18" s="13"/>
      <c r="Z18" s="13"/>
    </row>
    <row r="19" customFormat="false" ht="12" hidden="false" customHeight="true" outlineLevel="0" collapsed="false">
      <c r="B19" s="14"/>
      <c r="C19" s="14"/>
      <c r="D19" s="14"/>
      <c r="E19" s="14"/>
      <c r="F19" s="14"/>
      <c r="G19" s="14"/>
      <c r="H19" s="14"/>
      <c r="I19" s="14"/>
      <c r="J19" s="14"/>
      <c r="K19" s="14"/>
      <c r="L19" s="14"/>
      <c r="M19" s="14"/>
      <c r="N19" s="14"/>
      <c r="O19" s="14"/>
      <c r="P19" s="14"/>
      <c r="Q19" s="14"/>
      <c r="R19" s="14"/>
      <c r="S19" s="11"/>
      <c r="T19" s="15"/>
      <c r="U19" s="13"/>
      <c r="V19" s="13"/>
      <c r="W19" s="13"/>
      <c r="X19" s="13"/>
      <c r="Y19" s="13"/>
      <c r="Z19" s="13"/>
    </row>
    <row r="20" customFormat="false" ht="11.45" hidden="false" customHeight="true" outlineLevel="0" collapsed="false">
      <c r="B20" s="14"/>
      <c r="C20" s="14"/>
      <c r="D20" s="14"/>
      <c r="E20" s="14"/>
      <c r="F20" s="14"/>
      <c r="G20" s="14"/>
      <c r="H20" s="14"/>
      <c r="I20" s="14"/>
      <c r="J20" s="14"/>
      <c r="K20" s="14"/>
      <c r="L20" s="14"/>
      <c r="M20" s="14"/>
      <c r="N20" s="14"/>
      <c r="O20" s="14"/>
      <c r="P20" s="14"/>
      <c r="Q20" s="14"/>
      <c r="R20" s="14"/>
      <c r="S20" s="11"/>
      <c r="T20" s="15"/>
      <c r="U20" s="13"/>
      <c r="V20" s="13"/>
      <c r="W20" s="13"/>
      <c r="X20" s="13"/>
      <c r="Y20" s="13"/>
      <c r="Z20" s="13"/>
    </row>
    <row r="21" customFormat="false" ht="12" hidden="false" customHeight="true" outlineLevel="0" collapsed="false">
      <c r="B21" s="14"/>
      <c r="C21" s="14"/>
      <c r="D21" s="14"/>
      <c r="E21" s="14"/>
      <c r="F21" s="14"/>
      <c r="G21" s="14"/>
      <c r="H21" s="14"/>
      <c r="I21" s="14"/>
      <c r="J21" s="14"/>
      <c r="K21" s="14"/>
      <c r="L21" s="14"/>
      <c r="M21" s="14"/>
      <c r="N21" s="14"/>
      <c r="O21" s="14"/>
      <c r="P21" s="14"/>
      <c r="Q21" s="14"/>
      <c r="R21" s="14"/>
      <c r="S21" s="11"/>
      <c r="T21" s="15"/>
      <c r="U21" s="13"/>
      <c r="V21" s="13"/>
      <c r="W21" s="13"/>
      <c r="X21" s="13"/>
      <c r="Y21" s="13"/>
      <c r="Z21" s="13"/>
    </row>
    <row r="22" customFormat="false" ht="15" hidden="false" customHeight="false" outlineLevel="0" collapsed="false">
      <c r="B22" s="11"/>
      <c r="C22" s="11"/>
      <c r="D22" s="11"/>
      <c r="E22" s="11"/>
      <c r="F22" s="11"/>
      <c r="G22" s="11"/>
      <c r="H22" s="11"/>
      <c r="I22" s="11"/>
      <c r="J22" s="11"/>
      <c r="K22" s="11"/>
      <c r="L22" s="11"/>
      <c r="M22" s="11"/>
      <c r="N22" s="11"/>
      <c r="O22" s="11"/>
      <c r="P22" s="11"/>
      <c r="Q22" s="11"/>
      <c r="R22" s="15"/>
      <c r="S22" s="15"/>
      <c r="T22" s="15"/>
      <c r="U22" s="13"/>
      <c r="V22" s="13"/>
      <c r="W22" s="13"/>
      <c r="X22" s="13"/>
      <c r="Y22" s="13"/>
      <c r="Z22" s="13"/>
    </row>
    <row r="23" customFormat="false" ht="15" hidden="false" customHeight="false" outlineLevel="0" collapsed="false">
      <c r="B23" s="11"/>
      <c r="C23" s="11"/>
      <c r="D23" s="11"/>
      <c r="E23" s="11"/>
      <c r="F23" s="11"/>
      <c r="G23" s="11"/>
      <c r="H23" s="11"/>
      <c r="I23" s="11"/>
      <c r="J23" s="11"/>
      <c r="K23" s="11"/>
      <c r="L23" s="11"/>
      <c r="M23" s="11"/>
      <c r="N23" s="11"/>
      <c r="O23" s="11"/>
      <c r="P23" s="11"/>
      <c r="Q23" s="11"/>
      <c r="R23" s="15"/>
      <c r="S23" s="15"/>
      <c r="T23" s="15"/>
      <c r="U23" s="13"/>
      <c r="V23" s="13"/>
      <c r="W23" s="13"/>
      <c r="X23" s="13"/>
      <c r="Y23" s="13"/>
      <c r="Z23" s="13"/>
    </row>
    <row r="24" customFormat="false" ht="12" hidden="false" customHeight="true" outlineLevel="0" collapsed="false">
      <c r="B24" s="16"/>
      <c r="C24" s="17"/>
      <c r="D24" s="17"/>
      <c r="E24" s="17"/>
      <c r="F24" s="17"/>
      <c r="G24" s="17"/>
      <c r="H24" s="17"/>
      <c r="I24" s="17"/>
      <c r="J24" s="17"/>
      <c r="K24" s="17"/>
      <c r="L24" s="17"/>
      <c r="M24" s="17"/>
      <c r="N24" s="17"/>
      <c r="O24" s="17"/>
      <c r="P24" s="17"/>
      <c r="Q24" s="17"/>
      <c r="R24" s="18"/>
      <c r="U24" s="13"/>
      <c r="V24" s="13"/>
      <c r="W24" s="13"/>
      <c r="X24" s="13"/>
      <c r="Y24" s="13"/>
      <c r="Z24" s="13"/>
    </row>
    <row r="25" customFormat="false" ht="12" hidden="false" customHeight="true" outlineLevel="0" collapsed="false">
      <c r="B25" s="19"/>
      <c r="R25" s="20"/>
      <c r="U25" s="13"/>
      <c r="V25" s="13"/>
      <c r="W25" s="13"/>
      <c r="X25" s="13"/>
      <c r="Y25" s="13"/>
      <c r="Z25" s="13"/>
    </row>
    <row r="26" customFormat="false" ht="17.45" hidden="false" customHeight="true" outlineLevel="0" collapsed="false">
      <c r="B26" s="19"/>
      <c r="C26" s="21" t="s">
        <v>15</v>
      </c>
      <c r="D26" s="22"/>
      <c r="E26" s="22"/>
      <c r="F26" s="22"/>
      <c r="G26" s="22"/>
      <c r="H26" s="22"/>
      <c r="I26" s="22"/>
      <c r="J26" s="22"/>
      <c r="K26" s="22"/>
      <c r="L26" s="22"/>
      <c r="M26" s="22"/>
      <c r="N26" s="22"/>
      <c r="O26" s="22"/>
      <c r="P26" s="22"/>
      <c r="Q26" s="23"/>
      <c r="R26" s="20"/>
      <c r="U26" s="24" t="s">
        <v>16</v>
      </c>
      <c r="V26" s="24"/>
      <c r="W26" s="24"/>
      <c r="X26" s="24"/>
      <c r="Y26" s="24"/>
      <c r="Z26" s="24"/>
    </row>
    <row r="27" customFormat="false" ht="12" hidden="false" customHeight="true" outlineLevel="0" collapsed="false">
      <c r="B27" s="19"/>
      <c r="C27" s="25"/>
      <c r="Q27" s="26"/>
      <c r="R27" s="20"/>
      <c r="U27" s="24"/>
      <c r="V27" s="24"/>
      <c r="W27" s="24"/>
      <c r="X27" s="24"/>
      <c r="Y27" s="24"/>
      <c r="Z27" s="24"/>
    </row>
    <row r="28" customFormat="false" ht="12" hidden="false" customHeight="true" outlineLevel="0" collapsed="false">
      <c r="B28" s="19"/>
      <c r="C28" s="27" t="s">
        <v>17</v>
      </c>
      <c r="D28" s="28"/>
      <c r="Q28" s="26"/>
      <c r="R28" s="20"/>
      <c r="U28" s="24"/>
      <c r="V28" s="24"/>
      <c r="W28" s="24"/>
      <c r="X28" s="24"/>
      <c r="Y28" s="24"/>
      <c r="Z28" s="24"/>
    </row>
    <row r="29" customFormat="false" ht="12" hidden="false" customHeight="true" outlineLevel="0" collapsed="false">
      <c r="B29" s="19"/>
      <c r="C29" s="27" t="s">
        <v>18</v>
      </c>
      <c r="D29" s="29" t="n">
        <f aca="false">Tabeller!$A$1</f>
        <v>2023</v>
      </c>
      <c r="Q29" s="26"/>
      <c r="R29" s="20"/>
      <c r="U29" s="24"/>
      <c r="V29" s="24"/>
      <c r="W29" s="24"/>
      <c r="X29" s="24"/>
      <c r="Y29" s="24"/>
      <c r="Z29" s="24"/>
    </row>
    <row r="30" customFormat="false" ht="12" hidden="false" customHeight="true" outlineLevel="0" collapsed="false">
      <c r="B30" s="19"/>
      <c r="C30" s="27" t="s">
        <v>19</v>
      </c>
      <c r="D30" s="28"/>
      <c r="E30" s="28"/>
      <c r="Q30" s="26"/>
      <c r="R30" s="20"/>
      <c r="U30" s="24"/>
      <c r="V30" s="24"/>
      <c r="W30" s="24"/>
      <c r="X30" s="24"/>
      <c r="Y30" s="24"/>
      <c r="Z30" s="24"/>
    </row>
    <row r="31" customFormat="false" ht="12" hidden="false" customHeight="true" outlineLevel="0" collapsed="false">
      <c r="B31" s="19"/>
      <c r="C31" s="27" t="s">
        <v>20</v>
      </c>
      <c r="D31" s="28"/>
      <c r="E31" s="28"/>
      <c r="Q31" s="26"/>
      <c r="R31" s="20"/>
      <c r="U31" s="24"/>
      <c r="V31" s="24"/>
      <c r="W31" s="24"/>
      <c r="X31" s="24"/>
      <c r="Y31" s="24"/>
      <c r="Z31" s="24"/>
    </row>
    <row r="32" customFormat="false" ht="12" hidden="false" customHeight="true" outlineLevel="0" collapsed="false">
      <c r="B32" s="19"/>
      <c r="C32" s="30"/>
      <c r="D32" s="31"/>
      <c r="Q32" s="26"/>
      <c r="R32" s="20"/>
      <c r="U32" s="24"/>
      <c r="V32" s="24"/>
      <c r="W32" s="24"/>
      <c r="X32" s="24"/>
      <c r="Y32" s="24"/>
      <c r="Z32" s="24"/>
    </row>
    <row r="33" customFormat="false" ht="12" hidden="false" customHeight="true" outlineLevel="0" collapsed="false">
      <c r="B33" s="19"/>
      <c r="C33" s="27" t="str">
        <f aca="false">IF(LEFT(D28,2)="UF","","Internt/Statligt/Externt")</f>
        <v>Internt/Statligt/Externt</v>
      </c>
      <c r="D33" s="28" t="s">
        <v>21</v>
      </c>
      <c r="Q33" s="26"/>
      <c r="R33" s="20"/>
      <c r="U33" s="24"/>
      <c r="V33" s="24"/>
      <c r="W33" s="24"/>
      <c r="X33" s="24"/>
      <c r="Y33" s="24"/>
      <c r="Z33" s="24"/>
    </row>
    <row r="34" customFormat="false" ht="12" hidden="false" customHeight="true" outlineLevel="0" collapsed="false">
      <c r="B34" s="19"/>
      <c r="C34" s="30"/>
      <c r="D34" s="31"/>
      <c r="E34" s="32"/>
      <c r="Q34" s="26"/>
      <c r="R34" s="20"/>
      <c r="U34" s="24"/>
      <c r="V34" s="24"/>
      <c r="W34" s="24"/>
      <c r="X34" s="24"/>
      <c r="Y34" s="24"/>
      <c r="Z34" s="24"/>
    </row>
    <row r="35" customFormat="false" ht="12" hidden="false" customHeight="true" outlineLevel="0" collapsed="false">
      <c r="B35" s="19"/>
      <c r="C35" s="27" t="s">
        <v>22</v>
      </c>
      <c r="D35" s="33"/>
      <c r="E35" s="33"/>
      <c r="Q35" s="26"/>
      <c r="R35" s="20"/>
      <c r="U35" s="24"/>
      <c r="V35" s="24"/>
      <c r="W35" s="24"/>
      <c r="X35" s="24"/>
      <c r="Y35" s="24"/>
      <c r="Z35" s="24"/>
    </row>
    <row r="36" customFormat="false" ht="12" hidden="false" customHeight="true" outlineLevel="0" collapsed="false">
      <c r="B36" s="19"/>
      <c r="C36" s="27" t="s">
        <v>23</v>
      </c>
      <c r="D36" s="33"/>
      <c r="E36" s="33"/>
      <c r="Q36" s="26"/>
      <c r="R36" s="20"/>
      <c r="U36" s="24"/>
      <c r="V36" s="24"/>
      <c r="W36" s="24"/>
      <c r="X36" s="24"/>
      <c r="Y36" s="24"/>
      <c r="Z36" s="24"/>
    </row>
    <row r="37" customFormat="false" ht="12" hidden="false" customHeight="true" outlineLevel="0" collapsed="false">
      <c r="B37" s="19"/>
      <c r="C37" s="27" t="s">
        <v>24</v>
      </c>
      <c r="D37" s="33"/>
      <c r="E37" s="33"/>
      <c r="Q37" s="26"/>
      <c r="R37" s="20"/>
      <c r="U37" s="24"/>
      <c r="V37" s="24"/>
      <c r="W37" s="24"/>
      <c r="X37" s="24"/>
      <c r="Y37" s="24"/>
      <c r="Z37" s="24"/>
    </row>
    <row r="38" customFormat="false" ht="12" hidden="false" customHeight="true" outlineLevel="0" collapsed="false">
      <c r="B38" s="19"/>
      <c r="C38" s="34"/>
      <c r="D38" s="35"/>
      <c r="E38" s="35"/>
      <c r="F38" s="35"/>
      <c r="G38" s="35"/>
      <c r="H38" s="35"/>
      <c r="I38" s="35"/>
      <c r="J38" s="35"/>
      <c r="K38" s="35"/>
      <c r="L38" s="35"/>
      <c r="M38" s="35"/>
      <c r="N38" s="35"/>
      <c r="O38" s="35"/>
      <c r="P38" s="35"/>
      <c r="Q38" s="36"/>
      <c r="R38" s="20"/>
      <c r="U38" s="24"/>
      <c r="V38" s="24"/>
      <c r="W38" s="24"/>
      <c r="X38" s="24"/>
      <c r="Y38" s="24"/>
      <c r="Z38" s="24"/>
    </row>
    <row r="39" customFormat="false" ht="12" hidden="false" customHeight="true" outlineLevel="0" collapsed="false">
      <c r="B39" s="19"/>
      <c r="R39" s="20"/>
      <c r="U39" s="24"/>
      <c r="V39" s="24"/>
      <c r="W39" s="24"/>
      <c r="X39" s="24"/>
      <c r="Y39" s="24"/>
      <c r="Z39" s="24"/>
    </row>
    <row r="40" customFormat="false" ht="12" hidden="false" customHeight="true" outlineLevel="0" collapsed="false">
      <c r="B40" s="19"/>
      <c r="R40" s="20"/>
      <c r="U40" s="24"/>
      <c r="V40" s="24"/>
      <c r="W40" s="24"/>
      <c r="X40" s="24"/>
      <c r="Y40" s="24"/>
      <c r="Z40" s="24"/>
    </row>
    <row r="41" customFormat="false" ht="18" hidden="false" customHeight="false" outlineLevel="0" collapsed="false">
      <c r="B41" s="19"/>
      <c r="C41" s="21" t="str">
        <f aca="false">"PROJEKTKOSTNADER"&amp;" - "&amp;LEFT($B$1,(LEN($B$1)-41))</f>
        <v>PROJEKTKOSTNADER - UPPDRAG</v>
      </c>
      <c r="D41" s="22"/>
      <c r="E41" s="22"/>
      <c r="F41" s="22"/>
      <c r="G41" s="22"/>
      <c r="H41" s="22"/>
      <c r="I41" s="22"/>
      <c r="J41" s="22"/>
      <c r="K41" s="22"/>
      <c r="L41" s="22"/>
      <c r="M41" s="22"/>
      <c r="N41" s="22"/>
      <c r="O41" s="22"/>
      <c r="P41" s="22"/>
      <c r="Q41" s="23"/>
      <c r="R41" s="20"/>
      <c r="U41" s="37" t="s">
        <v>25</v>
      </c>
      <c r="V41" s="38"/>
      <c r="W41" s="38"/>
      <c r="X41" s="38"/>
      <c r="Y41" s="38"/>
      <c r="Z41" s="39"/>
    </row>
    <row r="42" customFormat="false" ht="12" hidden="false" customHeight="false" outlineLevel="0" collapsed="false">
      <c r="B42" s="19"/>
      <c r="C42" s="25"/>
      <c r="Q42" s="26"/>
      <c r="R42" s="20"/>
      <c r="U42" s="40" t="s">
        <v>26</v>
      </c>
      <c r="V42" s="40"/>
      <c r="W42" s="40"/>
      <c r="X42" s="40"/>
      <c r="Y42" s="40"/>
      <c r="Z42" s="39"/>
    </row>
    <row r="43" customFormat="false" ht="15" hidden="false" customHeight="true" outlineLevel="0" collapsed="false">
      <c r="B43" s="19"/>
      <c r="C43" s="41" t="s">
        <v>27</v>
      </c>
      <c r="H43" s="42" t="str">
        <f aca="false">IF($D$30="","",IF($D$29&gt;$D$30,"Fel i grundläggande uppgifter",$D$30))</f>
        <v/>
      </c>
      <c r="I43" s="42"/>
      <c r="J43" s="42" t="str">
        <f aca="false">IFERROR(H43+1,"")</f>
        <v/>
      </c>
      <c r="K43" s="42"/>
      <c r="L43" s="42" t="str">
        <f aca="false">IFERROR(J43+1,"")</f>
        <v/>
      </c>
      <c r="M43" s="42"/>
      <c r="N43" s="42" t="str">
        <f aca="false">IFERROR(L43+1,"")</f>
        <v/>
      </c>
      <c r="O43" s="42"/>
      <c r="P43" s="42" t="str">
        <f aca="false">IFERROR(N43+1,"")</f>
        <v/>
      </c>
      <c r="Q43" s="42"/>
      <c r="R43" s="20"/>
      <c r="U43" s="43" t="s">
        <v>28</v>
      </c>
      <c r="V43" s="43"/>
      <c r="W43" s="43"/>
      <c r="X43" s="43"/>
      <c r="Y43" s="43"/>
      <c r="Z43" s="43"/>
    </row>
    <row r="44" customFormat="false" ht="15" hidden="false" customHeight="false" outlineLevel="0" collapsed="false">
      <c r="B44" s="19"/>
      <c r="C44" s="41"/>
      <c r="H44" s="44"/>
      <c r="I44" s="44"/>
      <c r="J44" s="44"/>
      <c r="K44" s="44"/>
      <c r="L44" s="44"/>
      <c r="M44" s="44"/>
      <c r="N44" s="44"/>
      <c r="O44" s="44"/>
      <c r="P44" s="44"/>
      <c r="Q44" s="45"/>
      <c r="R44" s="20"/>
      <c r="U44" s="43"/>
      <c r="V44" s="43"/>
      <c r="W44" s="43"/>
      <c r="X44" s="43"/>
      <c r="Y44" s="43"/>
      <c r="Z44" s="43"/>
    </row>
    <row r="45" customFormat="false" ht="15" hidden="false" customHeight="false" outlineLevel="2" collapsed="false">
      <c r="B45" s="19"/>
      <c r="C45" s="41"/>
      <c r="Q45" s="26"/>
      <c r="R45" s="20"/>
      <c r="U45" s="43"/>
      <c r="V45" s="43"/>
      <c r="W45" s="43"/>
      <c r="X45" s="43"/>
      <c r="Y45" s="43"/>
      <c r="Z45" s="43"/>
    </row>
    <row r="46" s="7" customFormat="true" ht="12" hidden="false" customHeight="false" outlineLevel="2" collapsed="false">
      <c r="A46" s="6"/>
      <c r="B46" s="19"/>
      <c r="C46" s="46"/>
      <c r="H46" s="47" t="str">
        <f aca="false">IF($D$30="","",IF($D$29&gt;$D$30,"Se fel i grundläggande uppgifter",$D$30))</f>
        <v/>
      </c>
      <c r="I46" s="47"/>
      <c r="J46" s="47" t="str">
        <f aca="false">IFERROR(H46+1,"")</f>
        <v/>
      </c>
      <c r="K46" s="47"/>
      <c r="L46" s="47" t="str">
        <f aca="false">IFERROR(J46+1,"")</f>
        <v/>
      </c>
      <c r="M46" s="47"/>
      <c r="N46" s="47" t="str">
        <f aca="false">IFERROR(L46+1,"")</f>
        <v/>
      </c>
      <c r="O46" s="47"/>
      <c r="P46" s="48" t="str">
        <f aca="false">IFERROR(N46+1,"")</f>
        <v/>
      </c>
      <c r="Q46" s="48"/>
      <c r="R46" s="20"/>
      <c r="S46" s="6"/>
      <c r="T46" s="6"/>
      <c r="U46" s="43"/>
      <c r="V46" s="43"/>
      <c r="W46" s="43"/>
      <c r="X46" s="43"/>
      <c r="Y46" s="43"/>
      <c r="Z46" s="43"/>
    </row>
    <row r="47" customFormat="false" ht="22.5" hidden="false" customHeight="true" outlineLevel="2" collapsed="false">
      <c r="B47" s="19"/>
      <c r="C47" s="49" t="s">
        <v>29</v>
      </c>
      <c r="D47" s="50" t="s">
        <v>30</v>
      </c>
      <c r="E47" s="50"/>
      <c r="F47" s="50" t="s">
        <v>31</v>
      </c>
      <c r="G47" s="51" t="s">
        <v>32</v>
      </c>
      <c r="H47" s="52" t="s">
        <v>33</v>
      </c>
      <c r="I47" s="52" t="str">
        <f aca="false">IF($D$29=$D$30,"inkl. index 0%","inkl. index 2%")</f>
        <v>inkl. index 2%</v>
      </c>
      <c r="J47" s="52" t="s">
        <v>33</v>
      </c>
      <c r="K47" s="52" t="s">
        <v>34</v>
      </c>
      <c r="L47" s="52" t="s">
        <v>33</v>
      </c>
      <c r="M47" s="52" t="s">
        <v>34</v>
      </c>
      <c r="N47" s="52" t="s">
        <v>33</v>
      </c>
      <c r="O47" s="52" t="s">
        <v>34</v>
      </c>
      <c r="P47" s="52" t="s">
        <v>33</v>
      </c>
      <c r="Q47" s="52" t="s">
        <v>34</v>
      </c>
      <c r="R47" s="20"/>
      <c r="U47" s="43"/>
      <c r="V47" s="43"/>
      <c r="W47" s="43"/>
      <c r="X47" s="43"/>
      <c r="Y47" s="43"/>
      <c r="Z47" s="43"/>
    </row>
    <row r="48" customFormat="false" ht="11.45" hidden="false" customHeight="true" outlineLevel="2" collapsed="false">
      <c r="B48" s="19"/>
      <c r="C48" s="53"/>
      <c r="D48" s="33" t="s">
        <v>35</v>
      </c>
      <c r="E48" s="33"/>
      <c r="F48" s="54" t="n">
        <f aca="false">IF(H48+J48+L48+N48+P48=0,0,IF($D$33="Internt",(H48+J48+L48+N48+P48)*1680,(H48+J48+L48+N48+P48)*(1680-($D$169*8))))</f>
        <v>0</v>
      </c>
      <c r="G48" s="55"/>
      <c r="H48" s="56"/>
      <c r="I48" s="54" t="str">
        <f aca="false">IFERROR(IF(OR($D$29="",$D$30=""),"År saknas",(($G48*12)*H48*((1+(MID(I$47,12,2))/100)^(H$46-$D$29)))),0)</f>
        <v>År saknas</v>
      </c>
      <c r="J48" s="56"/>
      <c r="K48" s="54" t="str">
        <f aca="false">IFERROR(IF(OR($D$29="",$D$30=""),"År saknas",(($G48*12)*J48*((1+(MID(K$47,12,2))/100)^(J$46-$D$29)))),0)</f>
        <v>År saknas</v>
      </c>
      <c r="L48" s="56"/>
      <c r="M48" s="54" t="str">
        <f aca="false">IFERROR(IF(OR($D$29="",$D$30=""),"År saknas",(($G48*12)*L48*((1+(MID(M$47,12,2))/100)^(L$46-$D$29)))),0)</f>
        <v>År saknas</v>
      </c>
      <c r="N48" s="56"/>
      <c r="O48" s="54" t="str">
        <f aca="false">IFERROR(IF(OR($D$29="",$D$30=""),"År saknas",(($G48*12)*N48*((1+(MID(O$47,12,2))/100)^(N$46-$D$29)))),0)</f>
        <v>År saknas</v>
      </c>
      <c r="P48" s="56"/>
      <c r="Q48" s="54" t="str">
        <f aca="false">IFERROR(IF(OR($D$29="",$D$30=""),"År saknas",(($G48*12)*P48*((1+(MID(Q$47,12,2))/100)^(P$46-$D$29)))),0)</f>
        <v>År saknas</v>
      </c>
      <c r="R48" s="20"/>
      <c r="U48" s="43"/>
      <c r="V48" s="43"/>
      <c r="W48" s="43"/>
      <c r="X48" s="43"/>
      <c r="Y48" s="43"/>
      <c r="Z48" s="43"/>
    </row>
    <row r="49" customFormat="false" ht="12" hidden="false" customHeight="false" outlineLevel="2" collapsed="false">
      <c r="B49" s="19"/>
      <c r="C49" s="53"/>
      <c r="D49" s="33"/>
      <c r="E49" s="33"/>
      <c r="F49" s="54" t="n">
        <f aca="false">IF(H49+J49+L49+N49+P49=0,0,IF($D$33="Internt",(H49+J49+L49+N49+P49)*1680,(H49+J49+L49+N49+P49)*(1680-($D$169*8))))</f>
        <v>0</v>
      </c>
      <c r="G49" s="55"/>
      <c r="H49" s="56"/>
      <c r="I49" s="54" t="str">
        <f aca="false">IFERROR(IF(OR($D$29="",$D$30=""),"År saknas",(($G49*12)*H49*((1+(MID(I$47,12,2))/100)^(H$46-$D$29)))),0)</f>
        <v>År saknas</v>
      </c>
      <c r="J49" s="56"/>
      <c r="K49" s="54" t="str">
        <f aca="false">IFERROR(IF(OR($D$29="",$D$30=""),"År saknas",(($G49*12)*J49*((1+(MID(K$47,12,2))/100)^(J$46-$D$29)))),0)</f>
        <v>År saknas</v>
      </c>
      <c r="L49" s="56"/>
      <c r="M49" s="54" t="str">
        <f aca="false">IFERROR(IF(OR($D$29="",$D$30=""),"År saknas",(($G49*12)*L49*((1+(MID(M$47,12,2))/100)^(L$46-$D$29)))),0)</f>
        <v>År saknas</v>
      </c>
      <c r="N49" s="56"/>
      <c r="O49" s="54" t="str">
        <f aca="false">IFERROR(IF(OR($D$29="",$D$30=""),"År saknas",(($G49*12)*N49*((1+(MID(O$47,12,2))/100)^(N$46-$D$29)))),0)</f>
        <v>År saknas</v>
      </c>
      <c r="P49" s="56"/>
      <c r="Q49" s="54" t="str">
        <f aca="false">IFERROR(IF(OR($D$29="",$D$30=""),"År saknas",(($G49*12)*P49*((1+(MID(Q$47,12,2))/100)^(P$46-$D$29)))),0)</f>
        <v>År saknas</v>
      </c>
      <c r="R49" s="20"/>
      <c r="U49" s="43"/>
      <c r="V49" s="43"/>
      <c r="W49" s="43"/>
      <c r="X49" s="43"/>
      <c r="Y49" s="43"/>
      <c r="Z49" s="43"/>
    </row>
    <row r="50" customFormat="false" ht="12" hidden="false" customHeight="false" outlineLevel="2" collapsed="false">
      <c r="B50" s="19"/>
      <c r="C50" s="53"/>
      <c r="D50" s="33"/>
      <c r="E50" s="33"/>
      <c r="F50" s="54" t="n">
        <f aca="false">IF(H50+J50+L50+N50+P50=0,0,IF($D$33="Internt",(H50+J50+L50+N50+P50)*1680,(H50+J50+L50+N50+P50)*(1680-($D$169*8))))</f>
        <v>0</v>
      </c>
      <c r="G50" s="55"/>
      <c r="H50" s="56"/>
      <c r="I50" s="54" t="str">
        <f aca="false">IFERROR(IF(OR($D$29="",$D$30=""),"År saknas",(($G50*12)*H50*((1+(MID(I$47,12,2))/100)^(H$46-$D$29)))),0)</f>
        <v>År saknas</v>
      </c>
      <c r="J50" s="56"/>
      <c r="K50" s="54" t="str">
        <f aca="false">IFERROR(IF(OR($D$29="",$D$30=""),"År saknas",(($G50*12)*J50*((1+(MID(K$47,12,2))/100)^(J$46-$D$29)))),0)</f>
        <v>År saknas</v>
      </c>
      <c r="L50" s="56"/>
      <c r="M50" s="54" t="str">
        <f aca="false">IFERROR(IF(OR($D$29="",$D$30=""),"År saknas",(($G50*12)*L50*((1+(MID(M$47,12,2))/100)^(L$46-$D$29)))),0)</f>
        <v>År saknas</v>
      </c>
      <c r="N50" s="56"/>
      <c r="O50" s="54" t="str">
        <f aca="false">IFERROR(IF(OR($D$29="",$D$30=""),"År saknas",(($G50*12)*N50*((1+(MID(O$47,12,2))/100)^(N$46-$D$29)))),0)</f>
        <v>År saknas</v>
      </c>
      <c r="P50" s="56"/>
      <c r="Q50" s="54" t="str">
        <f aca="false">IFERROR(IF(OR($D$29="",$D$30=""),"År saknas",(($G50*12)*P50*((1+(MID(Q$47,12,2))/100)^(P$46-$D$29)))),0)</f>
        <v>År saknas</v>
      </c>
      <c r="R50" s="20"/>
      <c r="U50" s="43"/>
      <c r="V50" s="43"/>
      <c r="W50" s="43"/>
      <c r="X50" s="43"/>
      <c r="Y50" s="43"/>
      <c r="Z50" s="43"/>
    </row>
    <row r="51" customFormat="false" ht="12" hidden="false" customHeight="false" outlineLevel="2" collapsed="false">
      <c r="B51" s="19"/>
      <c r="C51" s="53"/>
      <c r="D51" s="33"/>
      <c r="E51" s="33"/>
      <c r="F51" s="54" t="n">
        <f aca="false">IF(H51+J51+L51+N51+P51=0,0,IF($D$33="Internt",(H51+J51+L51+N51+P51)*1680,(H51+J51+L51+N51+P51)*(1680-($D$169*8))))</f>
        <v>0</v>
      </c>
      <c r="G51" s="55"/>
      <c r="H51" s="56"/>
      <c r="I51" s="54" t="str">
        <f aca="false">IFERROR(IF(OR($D$29="",$D$30=""),"År saknas",(($G51*12)*H51*((1+(MID(I$47,12,2))/100)^(H$46-$D$29)))),0)</f>
        <v>År saknas</v>
      </c>
      <c r="J51" s="56"/>
      <c r="K51" s="54" t="str">
        <f aca="false">IFERROR(IF(OR($D$29="",$D$30=""),"År saknas",(($G51*12)*J51*((1+(MID(K$47,12,2))/100)^(J$46-$D$29)))),0)</f>
        <v>År saknas</v>
      </c>
      <c r="L51" s="56"/>
      <c r="M51" s="54" t="str">
        <f aca="false">IFERROR(IF(OR($D$29="",$D$30=""),"År saknas",(($G51*12)*L51*((1+(MID(M$47,12,2))/100)^(L$46-$D$29)))),0)</f>
        <v>År saknas</v>
      </c>
      <c r="N51" s="56"/>
      <c r="O51" s="54" t="str">
        <f aca="false">IFERROR(IF(OR($D$29="",$D$30=""),"År saknas",(($G51*12)*N51*((1+(MID(O$47,12,2))/100)^(N$46-$D$29)))),0)</f>
        <v>År saknas</v>
      </c>
      <c r="P51" s="56"/>
      <c r="Q51" s="54" t="str">
        <f aca="false">IFERROR(IF(OR($D$29="",$D$30=""),"År saknas",(($G51*12)*P51*((1+(MID(Q$47,12,2))/100)^(P$46-$D$29)))),0)</f>
        <v>År saknas</v>
      </c>
      <c r="R51" s="20"/>
      <c r="U51" s="43"/>
      <c r="V51" s="43"/>
      <c r="W51" s="43"/>
      <c r="X51" s="43"/>
      <c r="Y51" s="43"/>
      <c r="Z51" s="43"/>
    </row>
    <row r="52" customFormat="false" ht="12" hidden="false" customHeight="false" outlineLevel="2" collapsed="false">
      <c r="B52" s="19"/>
      <c r="C52" s="53"/>
      <c r="D52" s="33"/>
      <c r="E52" s="33"/>
      <c r="F52" s="54" t="n">
        <f aca="false">IF(H52+J52+L52+N52+P52=0,0,IF($D$33="Internt",(H52+J52+L52+N52+P52)*1680,(H52+J52+L52+N52+P52)*(1680-($D$169*8))))</f>
        <v>0</v>
      </c>
      <c r="G52" s="55"/>
      <c r="H52" s="56"/>
      <c r="I52" s="54" t="str">
        <f aca="false">IFERROR(IF(OR($D$29="",$D$30=""),"År saknas",(($G52*12)*H52*((1+(MID(I$47,12,2))/100)^(H$46-$D$29)))),0)</f>
        <v>År saknas</v>
      </c>
      <c r="J52" s="56"/>
      <c r="K52" s="54" t="str">
        <f aca="false">IFERROR(IF(OR($D$29="",$D$30=""),"År saknas",(($G52*12)*J52*((1+(MID(K$47,12,2))/100)^(J$46-$D$29)))),0)</f>
        <v>År saknas</v>
      </c>
      <c r="L52" s="56"/>
      <c r="M52" s="54" t="str">
        <f aca="false">IFERROR(IF(OR($D$29="",$D$30=""),"År saknas",(($G52*12)*L52*((1+(MID(M$47,12,2))/100)^(L$46-$D$29)))),0)</f>
        <v>År saknas</v>
      </c>
      <c r="N52" s="56"/>
      <c r="O52" s="54" t="str">
        <f aca="false">IFERROR(IF(OR($D$29="",$D$30=""),"År saknas",(($G52*12)*N52*((1+(MID(O$47,12,2))/100)^(N$46-$D$29)))),0)</f>
        <v>År saknas</v>
      </c>
      <c r="P52" s="56"/>
      <c r="Q52" s="54" t="str">
        <f aca="false">IFERROR(IF(OR($D$29="",$D$30=""),"År saknas",(($G52*12)*P52*((1+(MID(Q$47,12,2))/100)^(P$46-$D$29)))),0)</f>
        <v>År saknas</v>
      </c>
      <c r="R52" s="20"/>
      <c r="U52" s="43"/>
      <c r="V52" s="43"/>
      <c r="W52" s="43"/>
      <c r="X52" s="43"/>
      <c r="Y52" s="43"/>
      <c r="Z52" s="43"/>
    </row>
    <row r="53" customFormat="false" ht="12" hidden="false" customHeight="false" outlineLevel="2" collapsed="false">
      <c r="B53" s="19"/>
      <c r="C53" s="53"/>
      <c r="D53" s="33"/>
      <c r="E53" s="33"/>
      <c r="F53" s="54" t="n">
        <f aca="false">IF(H53+J53+L53+N53+P53=0,0,IF($D$33="Internt",(H53+J53+L53+N53+P53)*1680,(H53+J53+L53+N53+P53)*(1680-($D$169*8))))</f>
        <v>0</v>
      </c>
      <c r="G53" s="55"/>
      <c r="H53" s="56"/>
      <c r="I53" s="54" t="str">
        <f aca="false">IFERROR(IF(OR($D$29="",$D$30=""),"År saknas",(($G53*12)*H53*((1+(MID(I$47,12,2))/100)^(H$46-$D$29)))),0)</f>
        <v>År saknas</v>
      </c>
      <c r="J53" s="56"/>
      <c r="K53" s="54" t="str">
        <f aca="false">IFERROR(IF(OR($D$29="",$D$30=""),"År saknas",(($G53*12)*J53*((1+(MID(K$47,12,2))/100)^(J$46-$D$29)))),0)</f>
        <v>År saknas</v>
      </c>
      <c r="L53" s="56"/>
      <c r="M53" s="54" t="str">
        <f aca="false">IFERROR(IF(OR($D$29="",$D$30=""),"År saknas",(($G53*12)*L53*((1+(MID(M$47,12,2))/100)^(L$46-$D$29)))),0)</f>
        <v>År saknas</v>
      </c>
      <c r="N53" s="56"/>
      <c r="O53" s="54" t="str">
        <f aca="false">IFERROR(IF(OR($D$29="",$D$30=""),"År saknas",(($G53*12)*N53*((1+(MID(O$47,12,2))/100)^(N$46-$D$29)))),0)</f>
        <v>År saknas</v>
      </c>
      <c r="P53" s="56"/>
      <c r="Q53" s="54" t="str">
        <f aca="false">IFERROR(IF(OR($D$29="",$D$30=""),"År saknas",(($G53*12)*P53*((1+(MID(Q$47,12,2))/100)^(P$46-$D$29)))),0)</f>
        <v>År saknas</v>
      </c>
      <c r="R53" s="20"/>
      <c r="U53" s="43"/>
      <c r="V53" s="43"/>
      <c r="W53" s="43"/>
      <c r="X53" s="43"/>
      <c r="Y53" s="43"/>
      <c r="Z53" s="43"/>
    </row>
    <row r="54" customFormat="false" ht="12" hidden="false" customHeight="false" outlineLevel="2" collapsed="false">
      <c r="B54" s="19"/>
      <c r="C54" s="53"/>
      <c r="D54" s="33"/>
      <c r="E54" s="33"/>
      <c r="F54" s="54" t="n">
        <f aca="false">IF(H54+J54+L54+N54+P54=0,0,IF($D$33="Internt",(H54+J54+L54+N54+P54)*1680,(H54+J54+L54+N54+P54)*(1680-($D$169*8))))</f>
        <v>0</v>
      </c>
      <c r="G54" s="55"/>
      <c r="H54" s="56"/>
      <c r="I54" s="54" t="str">
        <f aca="false">IFERROR(IF(OR($D$29="",$D$30=""),"År saknas",(($G54*12)*H54*((1+(MID(I$47,12,2))/100)^(H$46-$D$29)))),0)</f>
        <v>År saknas</v>
      </c>
      <c r="J54" s="56"/>
      <c r="K54" s="54" t="str">
        <f aca="false">IFERROR(IF(OR($D$29="",$D$30=""),"År saknas",(($G54*12)*J54*((1+(MID(K$47,12,2))/100)^(J$46-$D$29)))),0)</f>
        <v>År saknas</v>
      </c>
      <c r="L54" s="56"/>
      <c r="M54" s="54" t="str">
        <f aca="false">IFERROR(IF(OR($D$29="",$D$30=""),"År saknas",(($G54*12)*L54*((1+(MID(M$47,12,2))/100)^(L$46-$D$29)))),0)</f>
        <v>År saknas</v>
      </c>
      <c r="N54" s="56"/>
      <c r="O54" s="54" t="str">
        <f aca="false">IFERROR(IF(OR($D$29="",$D$30=""),"År saknas",(($G54*12)*N54*((1+(MID(O$47,12,2))/100)^(N$46-$D$29)))),0)</f>
        <v>År saknas</v>
      </c>
      <c r="P54" s="56"/>
      <c r="Q54" s="54" t="str">
        <f aca="false">IFERROR(IF(OR($D$29="",$D$30=""),"År saknas",(($G54*12)*P54*((1+(MID(Q$47,12,2))/100)^(P$46-$D$29)))),0)</f>
        <v>År saknas</v>
      </c>
      <c r="R54" s="20"/>
      <c r="U54" s="43"/>
      <c r="V54" s="43"/>
      <c r="W54" s="43"/>
      <c r="X54" s="43"/>
      <c r="Y54" s="43"/>
      <c r="Z54" s="43"/>
    </row>
    <row r="55" customFormat="false" ht="12" hidden="false" customHeight="false" outlineLevel="2" collapsed="false">
      <c r="B55" s="19"/>
      <c r="C55" s="53"/>
      <c r="D55" s="33"/>
      <c r="E55" s="33"/>
      <c r="F55" s="54" t="n">
        <f aca="false">IF(H55+J55+L55+N55+P55=0,0,IF($D$33="Internt",(H55+J55+L55+N55+P55)*1680,(H55+J55+L55+N55+P55)*(1680-($D$169*8))))</f>
        <v>0</v>
      </c>
      <c r="G55" s="55"/>
      <c r="H55" s="56"/>
      <c r="I55" s="54" t="str">
        <f aca="false">IFERROR(IF(OR($D$29="",$D$30=""),"År saknas",(($G55*12)*H55*((1+(MID(I$47,12,2))/100)^(H$46-$D$29)))),0)</f>
        <v>År saknas</v>
      </c>
      <c r="J55" s="56"/>
      <c r="K55" s="54" t="str">
        <f aca="false">IFERROR(IF(OR($D$29="",$D$30=""),"År saknas",(($G55*12)*J55*((1+(MID(K$47,12,2))/100)^(J$46-$D$29)))),0)</f>
        <v>År saknas</v>
      </c>
      <c r="L55" s="56"/>
      <c r="M55" s="54" t="str">
        <f aca="false">IFERROR(IF(OR($D$29="",$D$30=""),"År saknas",(($G55*12)*L55*((1+(MID(M$47,12,2))/100)^(L$46-$D$29)))),0)</f>
        <v>År saknas</v>
      </c>
      <c r="N55" s="56"/>
      <c r="O55" s="54" t="str">
        <f aca="false">IFERROR(IF(OR($D$29="",$D$30=""),"År saknas",(($G55*12)*N55*((1+(MID(O$47,12,2))/100)^(N$46-$D$29)))),0)</f>
        <v>År saknas</v>
      </c>
      <c r="P55" s="56"/>
      <c r="Q55" s="54" t="str">
        <f aca="false">IFERROR(IF(OR($D$29="",$D$30=""),"År saknas",(($G55*12)*P55*((1+(MID(Q$47,12,2))/100)^(P$46-$D$29)))),0)</f>
        <v>År saknas</v>
      </c>
      <c r="R55" s="20"/>
      <c r="U55" s="43"/>
      <c r="V55" s="43"/>
      <c r="W55" s="43"/>
      <c r="X55" s="43"/>
      <c r="Y55" s="43"/>
      <c r="Z55" s="43"/>
    </row>
    <row r="56" customFormat="false" ht="12" hidden="false" customHeight="false" outlineLevel="2" collapsed="false">
      <c r="B56" s="19"/>
      <c r="C56" s="53"/>
      <c r="D56" s="33"/>
      <c r="E56" s="33"/>
      <c r="F56" s="54" t="n">
        <f aca="false">IF(H56+J56+L56+N56+P56=0,0,IF($D$33="Internt",(H56+J56+L56+N56+P56)*1680,(H56+J56+L56+N56+P56)*(1680-($D$169*8))))</f>
        <v>0</v>
      </c>
      <c r="G56" s="55"/>
      <c r="H56" s="56"/>
      <c r="I56" s="54" t="str">
        <f aca="false">IFERROR(IF(OR($D$29="",$D$30=""),"År saknas",(($G56*12)*H56*((1+(MID(I$47,12,2))/100)^(H$46-$D$29)))),0)</f>
        <v>År saknas</v>
      </c>
      <c r="J56" s="56"/>
      <c r="K56" s="54" t="str">
        <f aca="false">IFERROR(IF(OR($D$29="",$D$30=""),"År saknas",(($G56*12)*J56*((1+(MID(K$47,12,2))/100)^(J$46-$D$29)))),0)</f>
        <v>År saknas</v>
      </c>
      <c r="L56" s="56"/>
      <c r="M56" s="54" t="str">
        <f aca="false">IFERROR(IF(OR($D$29="",$D$30=""),"År saknas",(($G56*12)*L56*((1+(MID(M$47,12,2))/100)^(L$46-$D$29)))),0)</f>
        <v>År saknas</v>
      </c>
      <c r="N56" s="56"/>
      <c r="O56" s="54" t="str">
        <f aca="false">IFERROR(IF(OR($D$29="",$D$30=""),"År saknas",(($G56*12)*N56*((1+(MID(O$47,12,2))/100)^(N$46-$D$29)))),0)</f>
        <v>År saknas</v>
      </c>
      <c r="P56" s="56"/>
      <c r="Q56" s="54" t="str">
        <f aca="false">IFERROR(IF(OR($D$29="",$D$30=""),"År saknas",(($G56*12)*P56*((1+(MID(Q$47,12,2))/100)^(P$46-$D$29)))),0)</f>
        <v>År saknas</v>
      </c>
      <c r="R56" s="20"/>
      <c r="U56" s="43"/>
      <c r="V56" s="43"/>
      <c r="W56" s="43"/>
      <c r="X56" s="43"/>
      <c r="Y56" s="43"/>
      <c r="Z56" s="43"/>
    </row>
    <row r="57" customFormat="false" ht="12" hidden="false" customHeight="false" outlineLevel="2" collapsed="false">
      <c r="B57" s="19"/>
      <c r="C57" s="53"/>
      <c r="D57" s="33"/>
      <c r="E57" s="33"/>
      <c r="F57" s="54" t="n">
        <f aca="false">IF(H57+J57+L57+N57+P57=0,0,IF($D$33="Internt",(H57+J57+L57+N57+P57)*1680,(H57+J57+L57+N57+P57)*(1680-($D$169*8))))</f>
        <v>0</v>
      </c>
      <c r="G57" s="55"/>
      <c r="H57" s="56"/>
      <c r="I57" s="54" t="str">
        <f aca="false">IFERROR(IF(OR($D$29="",$D$30=""),"År saknas",(($G57*12)*H57*((1+(MID(I$47,12,2))/100)^(H$46-$D$29)))),0)</f>
        <v>År saknas</v>
      </c>
      <c r="J57" s="56"/>
      <c r="K57" s="54" t="str">
        <f aca="false">IFERROR(IF(OR($D$29="",$D$30=""),"År saknas",(($G57*12)*J57*((1+(MID(K$47,12,2))/100)^(J$46-$D$29)))),0)</f>
        <v>År saknas</v>
      </c>
      <c r="L57" s="56"/>
      <c r="M57" s="54" t="str">
        <f aca="false">IFERROR(IF(OR($D$29="",$D$30=""),"År saknas",(($G57*12)*L57*((1+(MID(M$47,12,2))/100)^(L$46-$D$29)))),0)</f>
        <v>År saknas</v>
      </c>
      <c r="N57" s="56"/>
      <c r="O57" s="54" t="str">
        <f aca="false">IFERROR(IF(OR($D$29="",$D$30=""),"År saknas",(($G57*12)*N57*((1+(MID(O$47,12,2))/100)^(N$46-$D$29)))),0)</f>
        <v>År saknas</v>
      </c>
      <c r="P57" s="56"/>
      <c r="Q57" s="54" t="str">
        <f aca="false">IFERROR(IF(OR($D$29="",$D$30=""),"År saknas",(($G57*12)*P57*((1+(MID(Q$47,12,2))/100)^(P$46-$D$29)))),0)</f>
        <v>År saknas</v>
      </c>
      <c r="R57" s="20"/>
      <c r="U57" s="43"/>
      <c r="V57" s="43"/>
      <c r="W57" s="43"/>
      <c r="X57" s="43"/>
      <c r="Y57" s="43"/>
      <c r="Z57" s="43"/>
    </row>
    <row r="58" customFormat="false" ht="12" hidden="false" customHeight="false" outlineLevel="2" collapsed="false">
      <c r="B58" s="19"/>
      <c r="C58" s="25"/>
      <c r="Q58" s="26"/>
      <c r="R58" s="20"/>
      <c r="U58" s="43"/>
      <c r="V58" s="43"/>
      <c r="W58" s="43"/>
      <c r="X58" s="43"/>
      <c r="Y58" s="43"/>
      <c r="Z58" s="43"/>
    </row>
    <row r="59" customFormat="false" ht="14.25" hidden="false" customHeight="false" outlineLevel="1" collapsed="false">
      <c r="B59" s="19"/>
      <c r="C59" s="57" t="s">
        <v>36</v>
      </c>
      <c r="D59" s="58"/>
      <c r="E59" s="58"/>
      <c r="F59" s="59" t="n">
        <f aca="false">SUM(F$48:F57)</f>
        <v>0</v>
      </c>
      <c r="G59" s="60" t="n">
        <f aca="false">SUM(G$48:G57)</f>
        <v>0</v>
      </c>
      <c r="H59" s="60" t="n">
        <f aca="false">SUM(I$48:I57)</f>
        <v>0</v>
      </c>
      <c r="I59" s="60"/>
      <c r="J59" s="60" t="n">
        <f aca="false">SUM(K$48:K57)</f>
        <v>0</v>
      </c>
      <c r="K59" s="60"/>
      <c r="L59" s="60" t="n">
        <f aca="false">SUM(M$48:M57)</f>
        <v>0</v>
      </c>
      <c r="M59" s="60"/>
      <c r="N59" s="60" t="n">
        <f aca="false">SUM(O$48:O57)</f>
        <v>0</v>
      </c>
      <c r="O59" s="60"/>
      <c r="P59" s="61" t="n">
        <f aca="false">SUM(Q$48:Q57)</f>
        <v>0</v>
      </c>
      <c r="Q59" s="61"/>
      <c r="R59" s="20"/>
      <c r="U59" s="43"/>
      <c r="V59" s="43"/>
      <c r="W59" s="43"/>
      <c r="X59" s="43"/>
      <c r="Y59" s="43"/>
      <c r="Z59" s="43"/>
    </row>
    <row r="60" customFormat="false" ht="12" hidden="false" customHeight="false" outlineLevel="1" collapsed="false">
      <c r="B60" s="19"/>
      <c r="C60" s="25"/>
      <c r="Q60" s="26"/>
      <c r="R60" s="20"/>
      <c r="U60" s="43"/>
      <c r="V60" s="43"/>
      <c r="W60" s="43"/>
      <c r="X60" s="43"/>
      <c r="Y60" s="43"/>
      <c r="Z60" s="43"/>
    </row>
    <row r="61" customFormat="false" ht="13.9" hidden="false" customHeight="true" outlineLevel="2" collapsed="false">
      <c r="B61" s="19"/>
      <c r="C61" s="62" t="s">
        <v>37</v>
      </c>
      <c r="D61" s="62"/>
      <c r="E61" s="62"/>
      <c r="F61" s="62"/>
      <c r="G61" s="63" t="n">
        <v>0.5411</v>
      </c>
      <c r="Q61" s="26"/>
      <c r="R61" s="20"/>
      <c r="U61" s="43"/>
      <c r="V61" s="43"/>
      <c r="W61" s="43"/>
      <c r="X61" s="43"/>
      <c r="Y61" s="43"/>
      <c r="Z61" s="43"/>
    </row>
    <row r="62" customFormat="false" ht="12" hidden="false" customHeight="false" outlineLevel="2" collapsed="false">
      <c r="B62" s="19"/>
      <c r="C62" s="62" t="s">
        <v>38</v>
      </c>
      <c r="D62" s="62"/>
      <c r="E62" s="62"/>
      <c r="F62" s="62"/>
      <c r="G62" s="63" t="n">
        <v>0.0185</v>
      </c>
      <c r="Q62" s="26"/>
      <c r="R62" s="20"/>
      <c r="U62" s="43"/>
      <c r="V62" s="43"/>
      <c r="W62" s="43"/>
      <c r="X62" s="43"/>
      <c r="Y62" s="43"/>
      <c r="Z62" s="43"/>
    </row>
    <row r="63" customFormat="false" ht="12" hidden="false" customHeight="false" outlineLevel="1" collapsed="false">
      <c r="B63" s="19"/>
      <c r="C63" s="25"/>
      <c r="F63" s="64" t="s">
        <v>39</v>
      </c>
      <c r="G63" s="65" t="n">
        <f aca="false">SUM(G61:G62)</f>
        <v>0.5596</v>
      </c>
      <c r="Q63" s="26"/>
      <c r="R63" s="20"/>
      <c r="U63" s="43"/>
      <c r="V63" s="43"/>
      <c r="W63" s="43"/>
      <c r="X63" s="43"/>
      <c r="Y63" s="43"/>
      <c r="Z63" s="43"/>
    </row>
    <row r="64" customFormat="false" ht="12" hidden="false" customHeight="false" outlineLevel="1" collapsed="false">
      <c r="B64" s="19"/>
      <c r="C64" s="25"/>
      <c r="Q64" s="26"/>
      <c r="R64" s="20"/>
      <c r="U64" s="43"/>
      <c r="V64" s="43"/>
      <c r="W64" s="43"/>
      <c r="X64" s="43"/>
      <c r="Y64" s="43"/>
      <c r="Z64" s="43"/>
    </row>
    <row r="65" customFormat="false" ht="13.9" hidden="false" customHeight="true" outlineLevel="0" collapsed="false">
      <c r="B65" s="19"/>
      <c r="C65" s="66" t="s">
        <v>40</v>
      </c>
      <c r="D65" s="66"/>
      <c r="E65" s="66"/>
      <c r="F65" s="66"/>
      <c r="G65" s="66"/>
      <c r="H65" s="67" t="n">
        <f aca="false">H59*(1+$G63)</f>
        <v>0</v>
      </c>
      <c r="I65" s="67"/>
      <c r="J65" s="67" t="n">
        <f aca="false">J59*(1+$G63)</f>
        <v>0</v>
      </c>
      <c r="K65" s="67"/>
      <c r="L65" s="67" t="n">
        <f aca="false">L59*(1+$G63)</f>
        <v>0</v>
      </c>
      <c r="M65" s="67"/>
      <c r="N65" s="67" t="n">
        <f aca="false">N59*(1+$G63)</f>
        <v>0</v>
      </c>
      <c r="O65" s="67"/>
      <c r="P65" s="68" t="n">
        <f aca="false">P59*(1+$G63)</f>
        <v>0</v>
      </c>
      <c r="Q65" s="68"/>
      <c r="R65" s="20"/>
      <c r="U65" s="43"/>
      <c r="V65" s="43"/>
      <c r="W65" s="43"/>
      <c r="X65" s="43"/>
      <c r="Y65" s="43"/>
      <c r="Z65" s="43"/>
    </row>
    <row r="66" customFormat="false" ht="12" hidden="false" customHeight="false" outlineLevel="0" collapsed="false">
      <c r="B66" s="19"/>
      <c r="C66" s="25"/>
      <c r="Q66" s="26"/>
      <c r="R66" s="20"/>
      <c r="U66" s="43"/>
      <c r="V66" s="43"/>
      <c r="W66" s="43"/>
      <c r="X66" s="43"/>
      <c r="Y66" s="43"/>
      <c r="Z66" s="43"/>
    </row>
    <row r="67" customFormat="false" ht="15" hidden="false" customHeight="false" outlineLevel="0" collapsed="false">
      <c r="B67" s="19"/>
      <c r="C67" s="41" t="s">
        <v>41</v>
      </c>
      <c r="Q67" s="26"/>
      <c r="R67" s="20"/>
      <c r="U67" s="69"/>
      <c r="V67" s="70"/>
      <c r="W67" s="70"/>
      <c r="X67" s="70"/>
      <c r="Y67" s="70"/>
      <c r="Z67" s="71"/>
    </row>
    <row r="68" customFormat="false" ht="15" hidden="false" customHeight="false" outlineLevel="0" collapsed="false">
      <c r="B68" s="19"/>
      <c r="C68" s="41"/>
      <c r="Q68" s="26"/>
      <c r="R68" s="20"/>
      <c r="U68" s="69"/>
      <c r="V68" s="70"/>
      <c r="W68" s="70"/>
      <c r="X68" s="70"/>
      <c r="Y68" s="70"/>
      <c r="Z68" s="71"/>
    </row>
    <row r="69" customFormat="false" ht="15" hidden="false" customHeight="false" outlineLevel="0" collapsed="false">
      <c r="B69" s="19"/>
      <c r="C69" s="41"/>
      <c r="Q69" s="26"/>
      <c r="R69" s="20"/>
      <c r="U69" s="69"/>
      <c r="V69" s="70"/>
      <c r="W69" s="70"/>
      <c r="X69" s="70"/>
      <c r="Y69" s="70"/>
      <c r="Z69" s="71"/>
    </row>
    <row r="70" customFormat="false" ht="12.75" hidden="false" customHeight="false" outlineLevel="0" collapsed="false">
      <c r="B70" s="19"/>
      <c r="C70" s="72" t="s">
        <v>42</v>
      </c>
      <c r="Q70" s="26"/>
      <c r="R70" s="20"/>
      <c r="U70" s="69"/>
      <c r="V70" s="70"/>
      <c r="W70" s="70"/>
      <c r="X70" s="70"/>
      <c r="Y70" s="70"/>
      <c r="Z70" s="71"/>
    </row>
    <row r="71" customFormat="false" ht="12.75" hidden="false" customHeight="false" outlineLevel="0" collapsed="false">
      <c r="B71" s="19"/>
      <c r="C71" s="72"/>
      <c r="Q71" s="26"/>
      <c r="R71" s="20"/>
      <c r="U71" s="69"/>
      <c r="V71" s="70"/>
      <c r="W71" s="70"/>
      <c r="X71" s="70"/>
      <c r="Y71" s="70"/>
      <c r="Z71" s="71"/>
    </row>
    <row r="72" customFormat="false" ht="12" hidden="false" customHeight="false" outlineLevel="0" collapsed="false">
      <c r="B72" s="19"/>
      <c r="C72" s="73"/>
      <c r="D72" s="74"/>
      <c r="E72" s="74"/>
      <c r="F72" s="74"/>
      <c r="G72" s="74"/>
      <c r="H72" s="47" t="str">
        <f aca="false">IF($D$30="","",IF($D$29&gt;$D$30,"Fel i grunduppgifter",$D$30))</f>
        <v/>
      </c>
      <c r="I72" s="47"/>
      <c r="J72" s="47" t="str">
        <f aca="false">IFERROR(H72+1,"")</f>
        <v/>
      </c>
      <c r="K72" s="47"/>
      <c r="L72" s="47" t="str">
        <f aca="false">IFERROR(J72+1,"")</f>
        <v/>
      </c>
      <c r="M72" s="47"/>
      <c r="N72" s="47" t="str">
        <f aca="false">IFERROR(L72+1,"")</f>
        <v/>
      </c>
      <c r="O72" s="47"/>
      <c r="P72" s="48" t="str">
        <f aca="false">IFERROR(N72+1,"")</f>
        <v/>
      </c>
      <c r="Q72" s="48"/>
      <c r="R72" s="20"/>
      <c r="U72" s="69"/>
      <c r="V72" s="70"/>
      <c r="W72" s="70"/>
      <c r="X72" s="70"/>
      <c r="Y72" s="70"/>
      <c r="Z72" s="71"/>
    </row>
    <row r="73" customFormat="false" ht="21" hidden="false" customHeight="true" outlineLevel="0" collapsed="false">
      <c r="B73" s="19"/>
      <c r="C73" s="49" t="s">
        <v>43</v>
      </c>
      <c r="D73" s="49"/>
      <c r="E73" s="49"/>
      <c r="F73" s="49"/>
      <c r="G73" s="50" t="s">
        <v>44</v>
      </c>
      <c r="H73" s="52" t="s">
        <v>45</v>
      </c>
      <c r="I73" s="52" t="str">
        <f aca="false">IF($D$29=$D$30,"inkl. index 0%","inkl. index 1%")</f>
        <v>inkl. index 1%</v>
      </c>
      <c r="J73" s="52" t="s">
        <v>45</v>
      </c>
      <c r="K73" s="52" t="s">
        <v>46</v>
      </c>
      <c r="L73" s="52" t="s">
        <v>45</v>
      </c>
      <c r="M73" s="52" t="s">
        <v>46</v>
      </c>
      <c r="N73" s="52" t="s">
        <v>45</v>
      </c>
      <c r="O73" s="52" t="s">
        <v>46</v>
      </c>
      <c r="P73" s="52" t="s">
        <v>45</v>
      </c>
      <c r="Q73" s="75" t="s">
        <v>46</v>
      </c>
      <c r="R73" s="20"/>
      <c r="U73" s="69"/>
      <c r="V73" s="70"/>
      <c r="W73" s="70"/>
      <c r="X73" s="70"/>
      <c r="Y73" s="70"/>
      <c r="Z73" s="71"/>
    </row>
    <row r="74" customFormat="false" ht="14.25" hidden="false" customHeight="false" outlineLevel="0" collapsed="false">
      <c r="B74" s="19"/>
      <c r="C74" s="53" t="s">
        <v>47</v>
      </c>
      <c r="D74" s="53"/>
      <c r="E74" s="53"/>
      <c r="F74" s="53"/>
      <c r="G74" s="55"/>
      <c r="H74" s="56"/>
      <c r="I74" s="54" t="str">
        <f aca="false">IF(OR($D$29="",$D$30=""),"År saknas",(($G74)*H74)*((1+(MID(I$73,12,2))/100)^(H$72-$D$29)))</f>
        <v>År saknas</v>
      </c>
      <c r="J74" s="56"/>
      <c r="K74" s="54" t="str">
        <f aca="false">IF(OR($D$29="",$D$30=""),"År saknas",(($G74)*J74)*((1+(MID(K$73,12,2))/100)^(J$72-$D$29)))</f>
        <v>År saknas</v>
      </c>
      <c r="L74" s="56"/>
      <c r="M74" s="54" t="str">
        <f aca="false">IF(OR($D$29="",$D$30=""),"År saknas",(($G74)*L74)*((1+(MID(M$73,12,2))/100)^(L$72-$D$29)))</f>
        <v>År saknas</v>
      </c>
      <c r="N74" s="56"/>
      <c r="O74" s="54" t="str">
        <f aca="false">IF(OR($D$29="",$D$30=""),"År saknas",(($G74)*N74)*((1+(MID(O$73,12,2))/100)^(N$72-$D$29)))</f>
        <v>År saknas</v>
      </c>
      <c r="P74" s="56"/>
      <c r="Q74" s="76" t="str">
        <f aca="false">IF(OR($D$29="",$D$30=""),"År saknas",(($G74)*P74)*((1+(MID(Q$73,12,2))/100)^(P$72-$D$29)))</f>
        <v>År saknas</v>
      </c>
      <c r="R74" s="20"/>
      <c r="U74" s="69"/>
      <c r="V74" s="70"/>
      <c r="W74" s="70"/>
      <c r="X74" s="70"/>
      <c r="Y74" s="70"/>
      <c r="Z74" s="71"/>
    </row>
    <row r="75" customFormat="false" ht="14.25" hidden="false" customHeight="false" outlineLevel="0" collapsed="false">
      <c r="B75" s="19"/>
      <c r="C75" s="53" t="s">
        <v>48</v>
      </c>
      <c r="D75" s="53"/>
      <c r="E75" s="53"/>
      <c r="F75" s="53"/>
      <c r="G75" s="55"/>
      <c r="H75" s="56"/>
      <c r="I75" s="54" t="str">
        <f aca="false">IF(OR($D$29="",$D$30=""),"År saknas",(($G75)*H75)*((1+(MID(I$73,12,2))/100)^(H$72-$D$29)))</f>
        <v>År saknas</v>
      </c>
      <c r="J75" s="56"/>
      <c r="K75" s="54" t="str">
        <f aca="false">IF(OR($D$29="",$D$30=""),"År saknas",(($G75)*J75)*((1+(MID(K$73,12,2))/100)^(J$72-$D$29)))</f>
        <v>År saknas</v>
      </c>
      <c r="L75" s="56"/>
      <c r="M75" s="54" t="str">
        <f aca="false">IF(OR($D$29="",$D$30=""),"År saknas",(($G75)*L75)*((1+(MID(M$73,12,2))/100)^(L$72-$D$29)))</f>
        <v>År saknas</v>
      </c>
      <c r="N75" s="56"/>
      <c r="O75" s="54" t="str">
        <f aca="false">IF(OR($D$29="",$D$30=""),"År saknas",(($G75)*N75)*((1+(MID(O$73,12,2))/100)^(N$72-$D$29)))</f>
        <v>År saknas</v>
      </c>
      <c r="P75" s="56"/>
      <c r="Q75" s="76" t="str">
        <f aca="false">IF(OR($D$29="",$D$30=""),"År saknas",(($G75)*P75)*((1+(MID(Q$73,12,2))/100)^(P$72-$D$29)))</f>
        <v>År saknas</v>
      </c>
      <c r="R75" s="20"/>
      <c r="U75" s="69"/>
      <c r="V75" s="70"/>
      <c r="W75" s="70"/>
      <c r="X75" s="70"/>
      <c r="Y75" s="70"/>
      <c r="Z75" s="71"/>
    </row>
    <row r="76" customFormat="false" ht="14.25" hidden="false" customHeight="false" outlineLevel="0" collapsed="false">
      <c r="B76" s="19"/>
      <c r="C76" s="53" t="s">
        <v>49</v>
      </c>
      <c r="D76" s="53"/>
      <c r="E76" s="53"/>
      <c r="F76" s="53"/>
      <c r="G76" s="55"/>
      <c r="H76" s="56"/>
      <c r="I76" s="54" t="str">
        <f aca="false">IF(OR($D$29="",$D$30=""),"År saknas",(($G76)*H76)*((1+(MID(I$73,12,2))/100)^(H$72-$D$29)))</f>
        <v>År saknas</v>
      </c>
      <c r="J76" s="56"/>
      <c r="K76" s="54" t="str">
        <f aca="false">IF(OR($D$29="",$D$30=""),"År saknas",(($G76)*J76)*((1+(MID(K$73,12,2))/100)^(J$72-$D$29)))</f>
        <v>År saknas</v>
      </c>
      <c r="L76" s="56"/>
      <c r="M76" s="54" t="str">
        <f aca="false">IF(OR($D$29="",$D$30=""),"År saknas",(($G76)*L76)*((1+(MID(M$73,12,2))/100)^(L$72-$D$29)))</f>
        <v>År saknas</v>
      </c>
      <c r="N76" s="56"/>
      <c r="O76" s="54" t="str">
        <f aca="false">IF(OR($D$29="",$D$30=""),"År saknas",(($G76)*N76)*((1+(MID(O$73,12,2))/100)^(N$72-$D$29)))</f>
        <v>År saknas</v>
      </c>
      <c r="P76" s="56"/>
      <c r="Q76" s="76" t="str">
        <f aca="false">IF(OR($D$29="",$D$30=""),"År saknas",(($G76)*P76)*((1+(MID(Q$73,12,2))/100)^(P$72-$D$29)))</f>
        <v>År saknas</v>
      </c>
      <c r="R76" s="20"/>
      <c r="U76" s="69"/>
      <c r="V76" s="70"/>
      <c r="W76" s="70"/>
      <c r="X76" s="70"/>
      <c r="Y76" s="70"/>
      <c r="Z76" s="71"/>
    </row>
    <row r="77" customFormat="false" ht="12.75" hidden="false" customHeight="false" outlineLevel="0" collapsed="false">
      <c r="B77" s="19"/>
      <c r="C77" s="72"/>
      <c r="Q77" s="26"/>
      <c r="R77" s="20"/>
      <c r="U77" s="69"/>
      <c r="V77" s="70"/>
      <c r="W77" s="70"/>
      <c r="X77" s="70"/>
      <c r="Y77" s="70"/>
      <c r="Z77" s="71"/>
    </row>
    <row r="78" customFormat="false" ht="14.25" hidden="false" customHeight="false" outlineLevel="0" collapsed="false">
      <c r="B78" s="19"/>
      <c r="C78" s="57" t="s">
        <v>50</v>
      </c>
      <c r="D78" s="57"/>
      <c r="E78" s="57"/>
      <c r="F78" s="57"/>
      <c r="G78" s="57"/>
      <c r="H78" s="60" t="n">
        <f aca="false">SUM(I$74:I76)</f>
        <v>0</v>
      </c>
      <c r="I78" s="60"/>
      <c r="J78" s="60" t="n">
        <f aca="false">SUM(K$74:K76)</f>
        <v>0</v>
      </c>
      <c r="K78" s="60"/>
      <c r="L78" s="60" t="n">
        <f aca="false">SUM(M$74:M76)</f>
        <v>0</v>
      </c>
      <c r="M78" s="60"/>
      <c r="N78" s="60" t="n">
        <f aca="false">SUM(O$74:O76)</f>
        <v>0</v>
      </c>
      <c r="O78" s="60"/>
      <c r="P78" s="60" t="n">
        <f aca="false">SUM(Q$74:Q76)</f>
        <v>0</v>
      </c>
      <c r="Q78" s="60"/>
      <c r="R78" s="20"/>
      <c r="U78" s="69"/>
      <c r="V78" s="70"/>
      <c r="W78" s="70"/>
      <c r="X78" s="70"/>
      <c r="Y78" s="70"/>
      <c r="Z78" s="71"/>
    </row>
    <row r="79" customFormat="false" ht="15" hidden="false" customHeight="false" outlineLevel="0" collapsed="false">
      <c r="B79" s="19"/>
      <c r="C79" s="41"/>
      <c r="Q79" s="26"/>
      <c r="R79" s="20"/>
      <c r="U79" s="69"/>
      <c r="V79" s="70"/>
      <c r="W79" s="70"/>
      <c r="X79" s="70"/>
      <c r="Y79" s="70"/>
      <c r="Z79" s="71"/>
    </row>
    <row r="80" customFormat="false" ht="12.75" hidden="false" customHeight="true" outlineLevel="1" collapsed="false">
      <c r="B80" s="19"/>
      <c r="C80" s="72" t="s">
        <v>51</v>
      </c>
      <c r="Q80" s="26"/>
      <c r="R80" s="20"/>
      <c r="U80" s="77" t="s">
        <v>52</v>
      </c>
      <c r="V80" s="77"/>
      <c r="W80" s="77"/>
      <c r="X80" s="77"/>
      <c r="Y80" s="77"/>
      <c r="Z80" s="77"/>
    </row>
    <row r="81" s="7" customFormat="true" ht="13.9" hidden="false" customHeight="true" outlineLevel="2" collapsed="false">
      <c r="A81" s="6"/>
      <c r="B81" s="19"/>
      <c r="C81" s="46"/>
      <c r="H81" s="78" t="str">
        <f aca="false">IF($D$30="","",IF($D$29&gt;$D$30,"Se fel i grundläggande uppgifter",$D$30))</f>
        <v/>
      </c>
      <c r="I81" s="78"/>
      <c r="J81" s="78" t="str">
        <f aca="false">IFERROR(H81+1,"")</f>
        <v/>
      </c>
      <c r="K81" s="78"/>
      <c r="L81" s="78" t="str">
        <f aca="false">IFERROR(J81+1,"")</f>
        <v/>
      </c>
      <c r="M81" s="78"/>
      <c r="N81" s="78" t="str">
        <f aca="false">IFERROR(L81+1,"")</f>
        <v/>
      </c>
      <c r="O81" s="78"/>
      <c r="P81" s="79" t="str">
        <f aca="false">IFERROR(N81+1,"")</f>
        <v/>
      </c>
      <c r="Q81" s="79"/>
      <c r="R81" s="20"/>
      <c r="S81" s="6"/>
      <c r="T81" s="6"/>
      <c r="U81" s="77"/>
      <c r="V81" s="77"/>
      <c r="W81" s="77"/>
      <c r="X81" s="77"/>
      <c r="Y81" s="77"/>
      <c r="Z81" s="77"/>
    </row>
    <row r="82" customFormat="false" ht="22.5" hidden="false" customHeight="true" outlineLevel="2" collapsed="false">
      <c r="B82" s="19"/>
      <c r="C82" s="49" t="s">
        <v>53</v>
      </c>
      <c r="D82" s="49"/>
      <c r="E82" s="49"/>
      <c r="F82" s="49"/>
      <c r="G82" s="50" t="s">
        <v>44</v>
      </c>
      <c r="H82" s="52" t="s">
        <v>45</v>
      </c>
      <c r="I82" s="52" t="str">
        <f aca="false">IF($D$29=$D$30,"inkl. index 0%","inkl. index 1%")</f>
        <v>inkl. index 1%</v>
      </c>
      <c r="J82" s="52" t="s">
        <v>45</v>
      </c>
      <c r="K82" s="52" t="s">
        <v>54</v>
      </c>
      <c r="L82" s="52" t="s">
        <v>45</v>
      </c>
      <c r="M82" s="52" t="s">
        <v>54</v>
      </c>
      <c r="N82" s="52" t="s">
        <v>45</v>
      </c>
      <c r="O82" s="52" t="s">
        <v>54</v>
      </c>
      <c r="P82" s="52" t="s">
        <v>45</v>
      </c>
      <c r="Q82" s="75" t="s">
        <v>54</v>
      </c>
      <c r="R82" s="20"/>
      <c r="U82" s="77"/>
      <c r="V82" s="77"/>
      <c r="W82" s="77"/>
      <c r="X82" s="77"/>
      <c r="Y82" s="77"/>
      <c r="Z82" s="77"/>
    </row>
    <row r="83" customFormat="false" ht="14.25" hidden="false" customHeight="false" outlineLevel="2" collapsed="false">
      <c r="B83" s="19"/>
      <c r="C83" s="53" t="s">
        <v>55</v>
      </c>
      <c r="D83" s="53"/>
      <c r="E83" s="53"/>
      <c r="F83" s="53"/>
      <c r="G83" s="80"/>
      <c r="H83" s="56"/>
      <c r="I83" s="54" t="str">
        <f aca="false">IF(OR($D$29="",$D$30=""),"År saknas",(($G83)*H83)*((1+(MID(I$82,12,2))/100)^(H$81-$D$29)))</f>
        <v>År saknas</v>
      </c>
      <c r="J83" s="56"/>
      <c r="K83" s="54" t="str">
        <f aca="false">IF(OR($D$29="",$D$30=""),"År saknas",(($G83)*J83)*((1+(MID(K$82,12,2))/100)^(J$81-$D$29)))</f>
        <v>År saknas</v>
      </c>
      <c r="L83" s="56"/>
      <c r="M83" s="54" t="str">
        <f aca="false">IF(OR($D$29="",$D$30=""),"År saknas",(($G83)*L83)*((1+(MID(M$82,12,2))/100)^(L$81-$D$29)))</f>
        <v>År saknas</v>
      </c>
      <c r="N83" s="56"/>
      <c r="O83" s="54" t="str">
        <f aca="false">IF(OR($D$29="",$D$30=""),"År saknas",(($G83)*N83)*((1+(MID(O$82,12,2))/100)^(N$81-$D$29)))</f>
        <v>År saknas</v>
      </c>
      <c r="P83" s="56"/>
      <c r="Q83" s="54" t="str">
        <f aca="false">IF(OR($D$29="",$D$30=""),"År saknas",(($G83)*P83)*((1+(MID(Q$82,12,2))/100)^(P$81-$D$29)))</f>
        <v>År saknas</v>
      </c>
      <c r="R83" s="20"/>
      <c r="U83" s="77"/>
      <c r="V83" s="77"/>
      <c r="W83" s="77"/>
      <c r="X83" s="77"/>
      <c r="Y83" s="77"/>
      <c r="Z83" s="77"/>
    </row>
    <row r="84" customFormat="false" ht="14.25" hidden="false" customHeight="false" outlineLevel="2" collapsed="false">
      <c r="B84" s="19"/>
      <c r="C84" s="53" t="s">
        <v>56</v>
      </c>
      <c r="D84" s="53"/>
      <c r="E84" s="53"/>
      <c r="F84" s="53"/>
      <c r="G84" s="80"/>
      <c r="H84" s="56"/>
      <c r="I84" s="54" t="str">
        <f aca="false">IF(OR($D$29="",$D$30=""),"År saknas",(($G84)*H84)*((1+(MID(I$82,12,2))/100)^(H$81-$D$29)))</f>
        <v>År saknas</v>
      </c>
      <c r="J84" s="56"/>
      <c r="K84" s="54" t="str">
        <f aca="false">IF(OR($D$29="",$D$30=""),"År saknas",(($G84)*J84)*((1+(MID(K$82,12,2))/100)^(J$81-$D$29)))</f>
        <v>År saknas</v>
      </c>
      <c r="L84" s="56"/>
      <c r="M84" s="54" t="str">
        <f aca="false">IF(OR($D$29="",$D$30=""),"År saknas",(($G84)*L84)*((1+(MID(M$82,12,2))/100)^(L$81-$D$29)))</f>
        <v>År saknas</v>
      </c>
      <c r="N84" s="56"/>
      <c r="O84" s="54" t="str">
        <f aca="false">IF(OR($D$29="",$D$30=""),"År saknas",(($G84)*N84)*((1+(MID(O$82,12,2))/100)^(N$81-$D$29)))</f>
        <v>År saknas</v>
      </c>
      <c r="P84" s="56"/>
      <c r="Q84" s="54" t="str">
        <f aca="false">IF(OR($D$29="",$D$30=""),"År saknas",(($G84)*P84)*((1+(MID(Q$82,12,2))/100)^(P$81-$D$29)))</f>
        <v>År saknas</v>
      </c>
      <c r="R84" s="20"/>
      <c r="U84" s="77"/>
      <c r="V84" s="77"/>
      <c r="W84" s="77"/>
      <c r="X84" s="77"/>
      <c r="Y84" s="77"/>
      <c r="Z84" s="77"/>
    </row>
    <row r="85" customFormat="false" ht="14.25" hidden="false" customHeight="false" outlineLevel="2" collapsed="false">
      <c r="B85" s="19"/>
      <c r="C85" s="53" t="s">
        <v>57</v>
      </c>
      <c r="D85" s="53"/>
      <c r="E85" s="53"/>
      <c r="F85" s="53"/>
      <c r="G85" s="80"/>
      <c r="H85" s="56"/>
      <c r="I85" s="54" t="str">
        <f aca="false">IF(OR($D$29="",$D$30=""),"År saknas",(($G85)*H85)*((1+(MID(I$82,12,2))/100)^(H$81-$D$29)))</f>
        <v>År saknas</v>
      </c>
      <c r="J85" s="56"/>
      <c r="K85" s="54" t="str">
        <f aca="false">IF(OR($D$29="",$D$30=""),"År saknas",(($G85)*J85)*((1+(MID(K$82,12,2))/100)^(J$81-$D$29)))</f>
        <v>År saknas</v>
      </c>
      <c r="L85" s="56"/>
      <c r="M85" s="54" t="str">
        <f aca="false">IF(OR($D$29="",$D$30=""),"År saknas",(($G85)*L85)*((1+(MID(M$82,12,2))/100)^(L$81-$D$29)))</f>
        <v>År saknas</v>
      </c>
      <c r="N85" s="56"/>
      <c r="O85" s="54" t="str">
        <f aca="false">IF(OR($D$29="",$D$30=""),"År saknas",(($G85)*N85)*((1+(MID(O$82,12,2))/100)^(N$81-$D$29)))</f>
        <v>År saknas</v>
      </c>
      <c r="P85" s="56"/>
      <c r="Q85" s="54" t="str">
        <f aca="false">IF(OR($D$29="",$D$30=""),"År saknas",(($G85)*P85)*((1+(MID(Q$82,12,2))/100)^(P$81-$D$29)))</f>
        <v>År saknas</v>
      </c>
      <c r="R85" s="20"/>
      <c r="U85" s="77"/>
      <c r="V85" s="77"/>
      <c r="W85" s="77"/>
      <c r="X85" s="77"/>
      <c r="Y85" s="77"/>
      <c r="Z85" s="77"/>
    </row>
    <row r="86" customFormat="false" ht="14.25" hidden="false" customHeight="false" outlineLevel="2" collapsed="false">
      <c r="B86" s="19"/>
      <c r="C86" s="53" t="s">
        <v>58</v>
      </c>
      <c r="D86" s="53"/>
      <c r="E86" s="53"/>
      <c r="F86" s="53"/>
      <c r="G86" s="80"/>
      <c r="H86" s="56"/>
      <c r="I86" s="54" t="str">
        <f aca="false">IF(OR($D$29="",$D$30=""),"År saknas",(($G86)*H86)*((1+(MID(I$82,12,2))/100)^(H$81-$D$29)))</f>
        <v>År saknas</v>
      </c>
      <c r="J86" s="56"/>
      <c r="K86" s="54" t="str">
        <f aca="false">IF(OR($D$29="",$D$30=""),"År saknas",(($G86)*J86)*((1+(MID(K$82,12,2))/100)^(J$81-$D$29)))</f>
        <v>År saknas</v>
      </c>
      <c r="L86" s="56"/>
      <c r="M86" s="54" t="str">
        <f aca="false">IF(OR($D$29="",$D$30=""),"År saknas",(($G86)*L86)*((1+(MID(M$82,12,2))/100)^(L$81-$D$29)))</f>
        <v>År saknas</v>
      </c>
      <c r="N86" s="56"/>
      <c r="O86" s="54" t="str">
        <f aca="false">IF(OR($D$29="",$D$30=""),"År saknas",(($G86)*N86)*((1+(MID(O$82,12,2))/100)^(N$81-$D$29)))</f>
        <v>År saknas</v>
      </c>
      <c r="P86" s="56"/>
      <c r="Q86" s="54" t="str">
        <f aca="false">IF(OR($D$29="",$D$30=""),"År saknas",(($G86)*P86)*((1+(MID(Q$82,12,2))/100)^(P$81-$D$29)))</f>
        <v>År saknas</v>
      </c>
      <c r="R86" s="20"/>
      <c r="U86" s="77"/>
      <c r="V86" s="77"/>
      <c r="W86" s="77"/>
      <c r="X86" s="77"/>
      <c r="Y86" s="77"/>
      <c r="Z86" s="77"/>
    </row>
    <row r="87" customFormat="false" ht="14.25" hidden="false" customHeight="false" outlineLevel="2" collapsed="false">
      <c r="B87" s="19"/>
      <c r="C87" s="53"/>
      <c r="D87" s="53"/>
      <c r="E87" s="53"/>
      <c r="F87" s="53"/>
      <c r="G87" s="80"/>
      <c r="H87" s="56"/>
      <c r="I87" s="54" t="str">
        <f aca="false">IF(OR($D$29="",$D$30=""),"År saknas",(($G87)*H87)*((1+(MID(I$82,12,2))/100)^(H$81-$D$29)))</f>
        <v>År saknas</v>
      </c>
      <c r="J87" s="56"/>
      <c r="K87" s="54" t="str">
        <f aca="false">IF(OR($D$29="",$D$30=""),"År saknas",(($G87)*J87)*((1+(MID(K$82,12,2))/100)^(J$81-$D$29)))</f>
        <v>År saknas</v>
      </c>
      <c r="L87" s="56"/>
      <c r="M87" s="54" t="str">
        <f aca="false">IF(OR($D$29="",$D$30=""),"År saknas",(($G87)*L87)*((1+(MID(M$82,12,2))/100)^(L$81-$D$29)))</f>
        <v>År saknas</v>
      </c>
      <c r="N87" s="56"/>
      <c r="O87" s="54" t="str">
        <f aca="false">IF(OR($D$29="",$D$30=""),"År saknas",(($G87)*N87)*((1+(MID(O$82,12,2))/100)^(N$81-$D$29)))</f>
        <v>År saknas</v>
      </c>
      <c r="P87" s="56"/>
      <c r="Q87" s="54" t="str">
        <f aca="false">IF(OR($D$29="",$D$30=""),"År saknas",(($G87)*P87)*((1+(MID(Q$82,12,2))/100)^(P$81-$D$29)))</f>
        <v>År saknas</v>
      </c>
      <c r="R87" s="20"/>
      <c r="U87" s="77"/>
      <c r="V87" s="77"/>
      <c r="W87" s="77"/>
      <c r="X87" s="77"/>
      <c r="Y87" s="77"/>
      <c r="Z87" s="77"/>
    </row>
    <row r="88" customFormat="false" ht="14.25" hidden="false" customHeight="false" outlineLevel="2" collapsed="false">
      <c r="B88" s="19"/>
      <c r="C88" s="53"/>
      <c r="D88" s="53"/>
      <c r="E88" s="53"/>
      <c r="F88" s="53"/>
      <c r="G88" s="80"/>
      <c r="H88" s="56"/>
      <c r="I88" s="54" t="str">
        <f aca="false">IF(OR($D$29="",$D$30=""),"År saknas",(($G88)*H88)*((1+(MID(I$82,12,2))/100)^(H$81-$D$29)))</f>
        <v>År saknas</v>
      </c>
      <c r="J88" s="56"/>
      <c r="K88" s="54" t="str">
        <f aca="false">IF(OR($D$29="",$D$30=""),"År saknas",(($G88)*J88)*((1+(MID(K$82,12,2))/100)^(J$81-$D$29)))</f>
        <v>År saknas</v>
      </c>
      <c r="L88" s="56"/>
      <c r="M88" s="54" t="str">
        <f aca="false">IF(OR($D$29="",$D$30=""),"År saknas",(($G88)*L88)*((1+(MID(M$82,12,2))/100)^(L$81-$D$29)))</f>
        <v>År saknas</v>
      </c>
      <c r="N88" s="56"/>
      <c r="O88" s="54" t="str">
        <f aca="false">IF(OR($D$29="",$D$30=""),"År saknas",(($G88)*N88)*((1+(MID(O$82,12,2))/100)^(N$81-$D$29)))</f>
        <v>År saknas</v>
      </c>
      <c r="P88" s="56"/>
      <c r="Q88" s="54" t="str">
        <f aca="false">IF(OR($D$29="",$D$30=""),"År saknas",(($G88)*P88)*((1+(MID(Q$82,12,2))/100)^(P$81-$D$29)))</f>
        <v>År saknas</v>
      </c>
      <c r="R88" s="20"/>
      <c r="U88" s="77"/>
      <c r="V88" s="77"/>
      <c r="W88" s="77"/>
      <c r="X88" s="77"/>
      <c r="Y88" s="77"/>
      <c r="Z88" s="77"/>
    </row>
    <row r="89" customFormat="false" ht="14.25" hidden="false" customHeight="false" outlineLevel="2" collapsed="false">
      <c r="B89" s="19"/>
      <c r="C89" s="53"/>
      <c r="D89" s="53"/>
      <c r="E89" s="53"/>
      <c r="F89" s="53"/>
      <c r="G89" s="80"/>
      <c r="H89" s="56"/>
      <c r="I89" s="54" t="str">
        <f aca="false">IF(OR($D$29="",$D$30=""),"År saknas",(($G89)*H89)*((1+(MID(I$82,12,2))/100)^(H$81-$D$29)))</f>
        <v>År saknas</v>
      </c>
      <c r="J89" s="56"/>
      <c r="K89" s="54" t="str">
        <f aca="false">IF(OR($D$29="",$D$30=""),"År saknas",(($G89)*J89)*((1+(MID(K$82,12,2))/100)^(J$81-$D$29)))</f>
        <v>År saknas</v>
      </c>
      <c r="L89" s="56"/>
      <c r="M89" s="54" t="str">
        <f aca="false">IF(OR($D$29="",$D$30=""),"År saknas",(($G89)*L89)*((1+(MID(M$82,12,2))/100)^(L$81-$D$29)))</f>
        <v>År saknas</v>
      </c>
      <c r="N89" s="56"/>
      <c r="O89" s="54" t="str">
        <f aca="false">IF(OR($D$29="",$D$30=""),"År saknas",(($G89)*N89)*((1+(MID(O$82,12,2))/100)^(N$81-$D$29)))</f>
        <v>År saknas</v>
      </c>
      <c r="P89" s="56"/>
      <c r="Q89" s="54" t="str">
        <f aca="false">IF(OR($D$29="",$D$30=""),"År saknas",(($G89)*P89)*((1+(MID(Q$82,12,2))/100)^(P$81-$D$29)))</f>
        <v>År saknas</v>
      </c>
      <c r="R89" s="20"/>
      <c r="U89" s="77"/>
      <c r="V89" s="77"/>
      <c r="W89" s="77"/>
      <c r="X89" s="77"/>
      <c r="Y89" s="77"/>
      <c r="Z89" s="77"/>
    </row>
    <row r="90" customFormat="false" ht="14.25" hidden="false" customHeight="false" outlineLevel="2" collapsed="false">
      <c r="B90" s="19"/>
      <c r="C90" s="53"/>
      <c r="D90" s="53"/>
      <c r="E90" s="53"/>
      <c r="F90" s="53"/>
      <c r="G90" s="80"/>
      <c r="H90" s="56"/>
      <c r="I90" s="54" t="str">
        <f aca="false">IF(OR($D$29="",$D$30=""),"År saknas",(($G90)*H90)*((1+(MID(I$82,12,2))/100)^(H$81-$D$29)))</f>
        <v>År saknas</v>
      </c>
      <c r="J90" s="56"/>
      <c r="K90" s="54" t="str">
        <f aca="false">IF(OR($D$29="",$D$30=""),"År saknas",(($G90)*J90)*((1+(MID(K$82,12,2))/100)^(J$81-$D$29)))</f>
        <v>År saknas</v>
      </c>
      <c r="L90" s="56"/>
      <c r="M90" s="54" t="str">
        <f aca="false">IF(OR($D$29="",$D$30=""),"År saknas",(($G90)*L90)*((1+(MID(M$82,12,2))/100)^(L$81-$D$29)))</f>
        <v>År saknas</v>
      </c>
      <c r="N90" s="56"/>
      <c r="O90" s="54" t="str">
        <f aca="false">IF(OR($D$29="",$D$30=""),"År saknas",(($G90)*N90)*((1+(MID(O$82,12,2))/100)^(N$81-$D$29)))</f>
        <v>År saknas</v>
      </c>
      <c r="P90" s="56"/>
      <c r="Q90" s="54" t="str">
        <f aca="false">IF(OR($D$29="",$D$30=""),"År saknas",(($G90)*P90)*((1+(MID(Q$82,12,2))/100)^(P$81-$D$29)))</f>
        <v>År saknas</v>
      </c>
      <c r="R90" s="20"/>
      <c r="U90" s="77"/>
      <c r="V90" s="77"/>
      <c r="W90" s="77"/>
      <c r="X90" s="77"/>
      <c r="Y90" s="77"/>
      <c r="Z90" s="77"/>
    </row>
    <row r="91" customFormat="false" ht="11.45" hidden="false" customHeight="true" outlineLevel="2" collapsed="false">
      <c r="B91" s="19"/>
      <c r="C91" s="25"/>
      <c r="Q91" s="26"/>
      <c r="R91" s="20"/>
      <c r="U91" s="77"/>
      <c r="V91" s="77"/>
      <c r="W91" s="77"/>
      <c r="X91" s="77"/>
      <c r="Y91" s="77"/>
      <c r="Z91" s="77"/>
    </row>
    <row r="92" customFormat="false" ht="14.25" hidden="false" customHeight="false" outlineLevel="1" collapsed="false">
      <c r="B92" s="19"/>
      <c r="C92" s="57" t="s">
        <v>59</v>
      </c>
      <c r="D92" s="57"/>
      <c r="E92" s="57"/>
      <c r="F92" s="57"/>
      <c r="G92" s="57"/>
      <c r="H92" s="60" t="n">
        <f aca="false">SUM(I$83:I90)</f>
        <v>0</v>
      </c>
      <c r="I92" s="60"/>
      <c r="J92" s="60" t="n">
        <f aca="false">SUM(K$83:K90)</f>
        <v>0</v>
      </c>
      <c r="K92" s="60"/>
      <c r="L92" s="60" t="n">
        <f aca="false">SUM(M$83:M90)</f>
        <v>0</v>
      </c>
      <c r="M92" s="60"/>
      <c r="N92" s="60" t="n">
        <f aca="false">SUM(O$83:O90)</f>
        <v>0</v>
      </c>
      <c r="O92" s="60"/>
      <c r="P92" s="61" t="n">
        <f aca="false">SUM(Q$83:Q90)</f>
        <v>0</v>
      </c>
      <c r="Q92" s="61"/>
      <c r="R92" s="20"/>
      <c r="U92" s="77"/>
      <c r="V92" s="77"/>
      <c r="W92" s="77"/>
      <c r="X92" s="77"/>
      <c r="Y92" s="77"/>
      <c r="Z92" s="77"/>
    </row>
    <row r="93" customFormat="false" ht="11.45" hidden="false" customHeight="true" outlineLevel="1" collapsed="false">
      <c r="B93" s="19"/>
      <c r="C93" s="25"/>
      <c r="I93" s="81"/>
      <c r="Q93" s="26"/>
      <c r="R93" s="20"/>
      <c r="U93" s="77"/>
      <c r="V93" s="77"/>
      <c r="W93" s="77"/>
      <c r="X93" s="77"/>
      <c r="Y93" s="77"/>
      <c r="Z93" s="77"/>
    </row>
    <row r="94" customFormat="false" ht="15" hidden="false" customHeight="true" outlineLevel="1" collapsed="false">
      <c r="B94" s="19"/>
      <c r="C94" s="41" t="s">
        <v>60</v>
      </c>
      <c r="Q94" s="26"/>
      <c r="R94" s="20"/>
      <c r="U94" s="77" t="s">
        <v>61</v>
      </c>
      <c r="V94" s="77"/>
      <c r="W94" s="77"/>
      <c r="X94" s="77"/>
      <c r="Y94" s="77"/>
      <c r="Z94" s="77"/>
    </row>
    <row r="95" customFormat="false" ht="12" hidden="false" customHeight="false" outlineLevel="2" collapsed="false">
      <c r="B95" s="19"/>
      <c r="C95" s="25"/>
      <c r="Q95" s="26"/>
      <c r="R95" s="20"/>
      <c r="U95" s="77"/>
      <c r="V95" s="77"/>
      <c r="W95" s="77"/>
      <c r="X95" s="77"/>
      <c r="Y95" s="77"/>
      <c r="Z95" s="77"/>
    </row>
    <row r="96" s="7" customFormat="true" ht="14.25" hidden="false" customHeight="false" outlineLevel="2" collapsed="false">
      <c r="A96" s="6"/>
      <c r="B96" s="19"/>
      <c r="C96" s="46"/>
      <c r="H96" s="78" t="str">
        <f aca="false">IF($D$30="","",IF($D$29&gt;$D$30,"Se fel i grundläggande uppgifter",$D$30))</f>
        <v/>
      </c>
      <c r="I96" s="78"/>
      <c r="J96" s="78" t="str">
        <f aca="false">IFERROR(H96+1,"")</f>
        <v/>
      </c>
      <c r="K96" s="78"/>
      <c r="L96" s="78" t="str">
        <f aca="false">IFERROR(J96+1,"")</f>
        <v/>
      </c>
      <c r="M96" s="78"/>
      <c r="N96" s="78" t="str">
        <f aca="false">IFERROR(L96+1,"")</f>
        <v/>
      </c>
      <c r="O96" s="78"/>
      <c r="P96" s="79" t="str">
        <f aca="false">IFERROR(N96+1,"")</f>
        <v/>
      </c>
      <c r="Q96" s="79"/>
      <c r="R96" s="20"/>
      <c r="S96" s="6"/>
      <c r="T96" s="6"/>
      <c r="U96" s="77"/>
      <c r="V96" s="77"/>
      <c r="W96" s="77"/>
      <c r="X96" s="77"/>
      <c r="Y96" s="77"/>
      <c r="Z96" s="77"/>
    </row>
    <row r="97" customFormat="false" ht="14.25" hidden="false" customHeight="true" outlineLevel="2" collapsed="false">
      <c r="B97" s="19"/>
      <c r="C97" s="82" t="s">
        <v>62</v>
      </c>
      <c r="D97" s="82"/>
      <c r="E97" s="82"/>
      <c r="F97" s="50" t="s">
        <v>63</v>
      </c>
      <c r="G97" s="50" t="s">
        <v>64</v>
      </c>
      <c r="H97" s="52" t="s">
        <v>65</v>
      </c>
      <c r="I97" s="52" t="str">
        <f aca="false">IF($D$29=$D$30,"inkl. index 0%","inkl. index 0%")</f>
        <v>inkl. index 0%</v>
      </c>
      <c r="J97" s="52" t="s">
        <v>65</v>
      </c>
      <c r="K97" s="52" t="s">
        <v>66</v>
      </c>
      <c r="L97" s="52" t="s">
        <v>65</v>
      </c>
      <c r="M97" s="52" t="s">
        <v>66</v>
      </c>
      <c r="N97" s="52" t="s">
        <v>65</v>
      </c>
      <c r="O97" s="52" t="s">
        <v>66</v>
      </c>
      <c r="P97" s="52" t="s">
        <v>65</v>
      </c>
      <c r="Q97" s="52" t="s">
        <v>66</v>
      </c>
      <c r="R97" s="20"/>
      <c r="U97" s="77"/>
      <c r="V97" s="77"/>
      <c r="W97" s="77"/>
      <c r="X97" s="77"/>
      <c r="Y97" s="77"/>
      <c r="Z97" s="77"/>
    </row>
    <row r="98" customFormat="false" ht="14.45" hidden="false" customHeight="true" outlineLevel="2" collapsed="false">
      <c r="B98" s="19"/>
      <c r="C98" s="53" t="s">
        <v>67</v>
      </c>
      <c r="D98" s="53"/>
      <c r="E98" s="53"/>
      <c r="F98" s="56"/>
      <c r="G98" s="55"/>
      <c r="H98" s="56"/>
      <c r="I98" s="54" t="n">
        <f aca="false">IFERROR(IF((H$96-$D$30)&gt;=((IF(LEN($F98)=4,LEFT($F98,1),LEFT($F98,2)))*1),"*livslängd &lt; proj-tid",(($G98/(IF(LEN($F98)=4,LEFT($F98,1),LEFT($F98,2))))*H98)*((1+(MID(I$97,12,2))/100)^(H$96-$D$29))),0)</f>
        <v>0</v>
      </c>
      <c r="J98" s="56"/>
      <c r="K98" s="54" t="n">
        <f aca="false">IFERROR(IF((J$96-$D$30)&gt;=((IF(LEN($F98)=4,LEFT($F98,1),LEFT($F98,2)))*1),"*livslängd &lt; proj-tid",(($G98/(IF(LEN($F98)=4,LEFT($F98,1),LEFT($F98,2))))*J98)*((1+(MID(K$97,12,2))/100)^(J$96-$D$29))),0)</f>
        <v>0</v>
      </c>
      <c r="L98" s="56"/>
      <c r="M98" s="54" t="n">
        <f aca="false">IFERROR(IF((L$96-$D$30)&gt;=((IF(LEN($F98)=4,LEFT($F98,1),LEFT($F98,2)))*1),"*livslängd &lt; proj-tid",(($G98/(IF(LEN($F98)=4,LEFT($F98,1),LEFT($F98,2))))*L98)*((1+(MID(M$97,12,2))/100)^(L$96-$D$29))),0)</f>
        <v>0</v>
      </c>
      <c r="N98" s="56"/>
      <c r="O98" s="54" t="n">
        <f aca="false">IFERROR(IF((N$96-$D$30)&gt;=((IF(LEN($F98)=4,LEFT($F98,1),LEFT($F98,2)))*1),"*livslängd &lt; proj-tid",(($G98/(IF(LEN($F98)=4,LEFT($F98,1),LEFT($F98,2))))*N98)*((1+(MID(O$97,12,2))/100)^(N$96-$D$29))),0)</f>
        <v>0</v>
      </c>
      <c r="P98" s="56"/>
      <c r="Q98" s="54" t="n">
        <f aca="false">IFERROR(IF((P$96-$D$30)&gt;=((IF(LEN($F98)=4,LEFT($F98,1),LEFT($F98,2)))*1),"*livslängd &lt; proj-tid",(($G98/(IF(LEN($F98)=4,LEFT($F98,1),LEFT($F98,2))))*P98)*((1+(MID(Q$97,12,2))/100)^(P$96-$D$29))),0)</f>
        <v>0</v>
      </c>
      <c r="R98" s="20"/>
      <c r="U98" s="77"/>
      <c r="V98" s="77"/>
      <c r="W98" s="77"/>
      <c r="X98" s="77"/>
      <c r="Y98" s="77"/>
      <c r="Z98" s="77"/>
    </row>
    <row r="99" customFormat="false" ht="14.45" hidden="false" customHeight="true" outlineLevel="2" collapsed="false">
      <c r="B99" s="19"/>
      <c r="C99" s="53"/>
      <c r="D99" s="53"/>
      <c r="E99" s="53"/>
      <c r="F99" s="56"/>
      <c r="G99" s="55"/>
      <c r="H99" s="56"/>
      <c r="I99" s="54" t="n">
        <f aca="false">IFERROR(IF((H$96-$D$30)&gt;=((IF(LEN($F99)=4,LEFT($F99,1),LEFT($F99,2)))*1),"*livslängd &lt; proj-tid",(($G99/(IF(LEN($F99)=4,LEFT($F99,1),LEFT($F99,2))))*H99)*((1+(MID(I$97,12,2))/100)^(H$96-$D$29))),0)</f>
        <v>0</v>
      </c>
      <c r="J99" s="56"/>
      <c r="K99" s="54" t="n">
        <f aca="false">IFERROR(IF((J$96-$D$30)&gt;=((IF(LEN($F99)=4,LEFT($F99,1),LEFT($F99,2)))*1),"*livslängd &lt; proj-tid",(($G99/(IF(LEN($F99)=4,LEFT($F99,1),LEFT($F99,2))))*J99)*((1+(MID(K$97,12,2))/100)^(J$96-$D$29))),0)</f>
        <v>0</v>
      </c>
      <c r="L99" s="56"/>
      <c r="M99" s="54" t="n">
        <f aca="false">IFERROR(IF((L$96-$D$30)&gt;=((IF(LEN($F99)=4,LEFT($F99,1),LEFT($F99,2)))*1),"*livslängd &lt; proj-tid",(($G99/(IF(LEN($F99)=4,LEFT($F99,1),LEFT($F99,2))))*L99)*((1+(MID(M$97,12,2))/100)^(L$96-$D$29))),0)</f>
        <v>0</v>
      </c>
      <c r="N99" s="56"/>
      <c r="O99" s="54" t="n">
        <f aca="false">IFERROR(IF((N$96-$D$30)&gt;=((IF(LEN($F99)=4,LEFT($F99,1),LEFT($F99,2)))*1),"*livslängd &lt; proj-tid",(($G99/(IF(LEN($F99)=4,LEFT($F99,1),LEFT($F99,2))))*N99)*((1+(MID(O$97,12,2))/100)^(N$96-$D$29))),0)</f>
        <v>0</v>
      </c>
      <c r="P99" s="56"/>
      <c r="Q99" s="54" t="n">
        <f aca="false">IFERROR(IF((P$96-$D$30)&gt;=((IF(LEN($F99)=4,LEFT($F99,1),LEFT($F99,2)))*1),"*livslängd &lt; proj-tid",(($G99/(IF(LEN($F99)=4,LEFT($F99,1),LEFT($F99,2))))*P99)*((1+(MID(Q$97,12,2))/100)^(P$96-$D$29))),0)</f>
        <v>0</v>
      </c>
      <c r="R99" s="20"/>
      <c r="U99" s="77"/>
      <c r="V99" s="77"/>
      <c r="W99" s="77"/>
      <c r="X99" s="77"/>
      <c r="Y99" s="77"/>
      <c r="Z99" s="77"/>
    </row>
    <row r="100" customFormat="false" ht="14.25" hidden="false" customHeight="false" outlineLevel="2" collapsed="false">
      <c r="B100" s="19"/>
      <c r="C100" s="83"/>
      <c r="D100" s="84"/>
      <c r="E100" s="84"/>
      <c r="F100" s="85"/>
      <c r="G100" s="85"/>
      <c r="Q100" s="26"/>
      <c r="R100" s="20"/>
      <c r="U100" s="77"/>
      <c r="V100" s="77"/>
      <c r="W100" s="77"/>
      <c r="X100" s="77"/>
      <c r="Y100" s="77"/>
      <c r="Z100" s="77"/>
    </row>
    <row r="101" s="7" customFormat="true" ht="14.25" hidden="false" customHeight="false" outlineLevel="2" collapsed="false">
      <c r="A101" s="6"/>
      <c r="B101" s="19"/>
      <c r="C101" s="46"/>
      <c r="H101" s="78" t="str">
        <f aca="false">IF($D$30="","",IF($D$29&gt;$D$30,"Se fel i grundläggande uppgifter",$D$30))</f>
        <v/>
      </c>
      <c r="I101" s="78"/>
      <c r="J101" s="78" t="str">
        <f aca="false">IFERROR(H101+1,"")</f>
        <v/>
      </c>
      <c r="K101" s="78"/>
      <c r="L101" s="78" t="str">
        <f aca="false">IFERROR(J101+1,"")</f>
        <v/>
      </c>
      <c r="M101" s="78"/>
      <c r="N101" s="78" t="str">
        <f aca="false">IFERROR(L101+1,"")</f>
        <v/>
      </c>
      <c r="O101" s="78"/>
      <c r="P101" s="79" t="str">
        <f aca="false">IFERROR(N101+1,"")</f>
        <v/>
      </c>
      <c r="Q101" s="79"/>
      <c r="R101" s="20"/>
      <c r="S101" s="6"/>
      <c r="T101" s="6"/>
      <c r="U101" s="77"/>
      <c r="V101" s="77"/>
      <c r="W101" s="77"/>
      <c r="X101" s="77"/>
      <c r="Y101" s="77"/>
      <c r="Z101" s="77"/>
    </row>
    <row r="102" customFormat="false" ht="14.25" hidden="false" customHeight="true" outlineLevel="2" collapsed="false">
      <c r="B102" s="19"/>
      <c r="C102" s="82" t="s">
        <v>68</v>
      </c>
      <c r="D102" s="82"/>
      <c r="E102" s="82"/>
      <c r="F102" s="86" t="s">
        <v>69</v>
      </c>
      <c r="G102" s="86" t="s">
        <v>70</v>
      </c>
      <c r="H102" s="52" t="s">
        <v>65</v>
      </c>
      <c r="I102" s="52" t="str">
        <f aca="false">IF($D$29=$D$30,"inkl. index 0%","inkl. index 1%")</f>
        <v>inkl. index 1%</v>
      </c>
      <c r="J102" s="52" t="s">
        <v>65</v>
      </c>
      <c r="K102" s="52" t="s">
        <v>46</v>
      </c>
      <c r="L102" s="52" t="s">
        <v>65</v>
      </c>
      <c r="M102" s="52" t="s">
        <v>46</v>
      </c>
      <c r="N102" s="52" t="s">
        <v>65</v>
      </c>
      <c r="O102" s="52" t="s">
        <v>46</v>
      </c>
      <c r="P102" s="52" t="s">
        <v>65</v>
      </c>
      <c r="Q102" s="52" t="s">
        <v>46</v>
      </c>
      <c r="R102" s="20"/>
      <c r="U102" s="77"/>
      <c r="V102" s="77"/>
      <c r="W102" s="77"/>
      <c r="X102" s="77"/>
      <c r="Y102" s="77"/>
      <c r="Z102" s="77"/>
    </row>
    <row r="103" customFormat="false" ht="14.25" hidden="false" customHeight="false" outlineLevel="2" collapsed="false">
      <c r="B103" s="19"/>
      <c r="C103" s="53" t="s">
        <v>71</v>
      </c>
      <c r="D103" s="53"/>
      <c r="E103" s="53"/>
      <c r="F103" s="80"/>
      <c r="G103" s="55"/>
      <c r="H103" s="56"/>
      <c r="I103" s="54" t="str">
        <f aca="false">IF(OR($D$29="",$D$30=""),"År saknas",(($F103*$G103)*H103)*((1+(MID(I$102,12,2))/100)^(H$101-$D$29)))</f>
        <v>År saknas</v>
      </c>
      <c r="J103" s="56"/>
      <c r="K103" s="54" t="str">
        <f aca="false">IF(OR($D$29="",$D$30=""),"År saknas",(($F103*$G103)*J103)*((1+(MID(K$102,12,2))/100)^(J$101-$D$29)))</f>
        <v>År saknas</v>
      </c>
      <c r="L103" s="56"/>
      <c r="M103" s="54" t="str">
        <f aca="false">IF(OR($D$29="",$D$30=""),"År saknas",(($F103*$G103)*L103)*((1+(MID(M$102,12,2))/100)^(L$101-$D$29)))</f>
        <v>År saknas</v>
      </c>
      <c r="N103" s="56"/>
      <c r="O103" s="54" t="str">
        <f aca="false">IF(OR($D$29="",$D$30=""),"År saknas",(($F103*$G103)*N103)*((1+(MID(O$102,12,2))/100)^(N$101-$D$29)))</f>
        <v>År saknas</v>
      </c>
      <c r="P103" s="56"/>
      <c r="Q103" s="54" t="str">
        <f aca="false">IF(OR($D$29="",$D$30=""),"År saknas",(($F103*$G103)*P103)*((1+(MID(Q$102,12,2))/100)^(P$101-$D$29)))</f>
        <v>År saknas</v>
      </c>
      <c r="R103" s="20"/>
      <c r="U103" s="77"/>
      <c r="V103" s="77"/>
      <c r="W103" s="77"/>
      <c r="X103" s="77"/>
      <c r="Y103" s="77"/>
      <c r="Z103" s="77"/>
    </row>
    <row r="104" customFormat="false" ht="14.25" hidden="false" customHeight="false" outlineLevel="2" collapsed="false">
      <c r="B104" s="19"/>
      <c r="C104" s="53" t="s">
        <v>72</v>
      </c>
      <c r="D104" s="53"/>
      <c r="E104" s="53"/>
      <c r="F104" s="80"/>
      <c r="G104" s="55"/>
      <c r="H104" s="56"/>
      <c r="I104" s="54" t="str">
        <f aca="false">IF(OR($D$29="",$D$30=""),"År saknas",(($F104*$G104)*H104)*((1+(MID(I$102,12,2))/100)^(H$101-$D$29)))</f>
        <v>År saknas</v>
      </c>
      <c r="J104" s="56"/>
      <c r="K104" s="54" t="str">
        <f aca="false">IF(OR($D$29="",$D$30=""),"År saknas",(($F104*$G104)*J104)*((1+(MID(K$102,12,2))/100)^(J$101-$D$29)))</f>
        <v>År saknas</v>
      </c>
      <c r="L104" s="56"/>
      <c r="M104" s="54" t="str">
        <f aca="false">IF(OR($D$29="",$D$30=""),"År saknas",(($F104*$G104)*L104)*((1+(MID(M$102,12,2))/100)^(L$101-$D$29)))</f>
        <v>År saknas</v>
      </c>
      <c r="N104" s="56"/>
      <c r="O104" s="54" t="str">
        <f aca="false">IF(OR($D$29="",$D$30=""),"År saknas",(($F104*$G104)*N104)*((1+(MID(O$102,12,2))/100)^(N$101-$D$29)))</f>
        <v>År saknas</v>
      </c>
      <c r="P104" s="56"/>
      <c r="Q104" s="54" t="str">
        <f aca="false">IF(OR($D$29="",$D$30=""),"År saknas",(($F104*$G104)*P104)*((1+(MID(Q$102,12,2))/100)^(P$101-$D$29)))</f>
        <v>År saknas</v>
      </c>
      <c r="R104" s="20"/>
      <c r="U104" s="77"/>
      <c r="V104" s="77"/>
      <c r="W104" s="77"/>
      <c r="X104" s="77"/>
      <c r="Y104" s="77"/>
      <c r="Z104" s="77"/>
    </row>
    <row r="105" customFormat="false" ht="14.25" hidden="false" customHeight="false" outlineLevel="2" collapsed="false">
      <c r="B105" s="19"/>
      <c r="C105" s="53"/>
      <c r="D105" s="53"/>
      <c r="E105" s="53"/>
      <c r="F105" s="80"/>
      <c r="G105" s="55"/>
      <c r="H105" s="56"/>
      <c r="I105" s="54" t="str">
        <f aca="false">IF(OR($D$29="",$D$30=""),"År saknas",(($F105*$G105)*H105)*((1+(MID(I$102,12,2))/100)^(H$101-$D$29)))</f>
        <v>År saknas</v>
      </c>
      <c r="J105" s="56"/>
      <c r="K105" s="54" t="str">
        <f aca="false">IF(OR($D$29="",$D$30=""),"År saknas",(($F105*$G105)*J105)*((1+(MID(K$102,12,2))/100)^(J$101-$D$29)))</f>
        <v>År saknas</v>
      </c>
      <c r="L105" s="56"/>
      <c r="M105" s="54" t="str">
        <f aca="false">IF(OR($D$29="",$D$30=""),"År saknas",(($F105*$G105)*L105)*((1+(MID(M$102,12,2))/100)^(L$101-$D$29)))</f>
        <v>År saknas</v>
      </c>
      <c r="N105" s="56"/>
      <c r="O105" s="54" t="str">
        <f aca="false">IF(OR($D$29="",$D$30=""),"År saknas",(($F105*$G105)*N105)*((1+(MID(O$102,12,2))/100)^(N$101-$D$29)))</f>
        <v>År saknas</v>
      </c>
      <c r="P105" s="56"/>
      <c r="Q105" s="54" t="str">
        <f aca="false">IF(OR($D$29="",$D$30=""),"År saknas",(($F105*$G105)*P105)*((1+(MID(Q$102,12,2))/100)^(P$101-$D$29)))</f>
        <v>År saknas</v>
      </c>
      <c r="R105" s="20"/>
      <c r="U105" s="77"/>
      <c r="V105" s="77"/>
      <c r="W105" s="77"/>
      <c r="X105" s="77"/>
      <c r="Y105" s="77"/>
      <c r="Z105" s="77"/>
    </row>
    <row r="106" customFormat="false" ht="12" hidden="false" customHeight="false" outlineLevel="2" collapsed="false">
      <c r="B106" s="19"/>
      <c r="C106" s="25"/>
      <c r="Q106" s="26"/>
      <c r="R106" s="20"/>
      <c r="U106" s="77"/>
      <c r="V106" s="77"/>
      <c r="W106" s="77"/>
      <c r="X106" s="77"/>
      <c r="Y106" s="77"/>
      <c r="Z106" s="77"/>
    </row>
    <row r="107" s="7" customFormat="true" ht="14.25" hidden="false" customHeight="false" outlineLevel="2" collapsed="false">
      <c r="A107" s="6"/>
      <c r="B107" s="19"/>
      <c r="C107" s="46"/>
      <c r="H107" s="78" t="str">
        <f aca="false">IF($D$30="","",IF($D$29&gt;$D$30,"Se fel i grundläggande uppgifter",$D$30))</f>
        <v/>
      </c>
      <c r="I107" s="78"/>
      <c r="J107" s="78" t="str">
        <f aca="false">IFERROR(H107+1,"")</f>
        <v/>
      </c>
      <c r="K107" s="78"/>
      <c r="L107" s="78" t="str">
        <f aca="false">IFERROR(J107+1,"")</f>
        <v/>
      </c>
      <c r="M107" s="78"/>
      <c r="N107" s="78" t="str">
        <f aca="false">IFERROR(L107+1,"")</f>
        <v/>
      </c>
      <c r="O107" s="78"/>
      <c r="P107" s="79" t="str">
        <f aca="false">IFERROR(N107+1,"")</f>
        <v/>
      </c>
      <c r="Q107" s="79"/>
      <c r="R107" s="20"/>
      <c r="S107" s="6"/>
      <c r="T107" s="6"/>
      <c r="U107" s="77"/>
      <c r="V107" s="77"/>
      <c r="W107" s="77"/>
      <c r="X107" s="77"/>
      <c r="Y107" s="77"/>
      <c r="Z107" s="77"/>
    </row>
    <row r="108" customFormat="false" ht="22.5" hidden="false" customHeight="true" outlineLevel="2" collapsed="false">
      <c r="B108" s="19"/>
      <c r="C108" s="82" t="s">
        <v>73</v>
      </c>
      <c r="D108" s="82"/>
      <c r="E108" s="82"/>
      <c r="F108" s="82"/>
      <c r="G108" s="50" t="s">
        <v>44</v>
      </c>
      <c r="H108" s="52" t="s">
        <v>45</v>
      </c>
      <c r="I108" s="52" t="str">
        <f aca="false">IF($D$29=$D$30,"inkl. index 0%","inkl. index 0%")</f>
        <v>inkl. index 0%</v>
      </c>
      <c r="J108" s="52" t="s">
        <v>45</v>
      </c>
      <c r="K108" s="52" t="s">
        <v>66</v>
      </c>
      <c r="L108" s="52" t="s">
        <v>45</v>
      </c>
      <c r="M108" s="52" t="s">
        <v>66</v>
      </c>
      <c r="N108" s="52" t="s">
        <v>45</v>
      </c>
      <c r="O108" s="52" t="s">
        <v>66</v>
      </c>
      <c r="P108" s="52" t="s">
        <v>45</v>
      </c>
      <c r="Q108" s="52" t="s">
        <v>66</v>
      </c>
      <c r="R108" s="20"/>
      <c r="U108" s="77"/>
      <c r="V108" s="77"/>
      <c r="W108" s="77"/>
      <c r="X108" s="77"/>
      <c r="Y108" s="77"/>
      <c r="Z108" s="77"/>
    </row>
    <row r="109" customFormat="false" ht="14.25" hidden="false" customHeight="false" outlineLevel="2" collapsed="false">
      <c r="B109" s="19"/>
      <c r="C109" s="53" t="s">
        <v>74</v>
      </c>
      <c r="D109" s="53"/>
      <c r="E109" s="53"/>
      <c r="F109" s="53"/>
      <c r="G109" s="55"/>
      <c r="H109" s="56"/>
      <c r="I109" s="54" t="str">
        <f aca="false">IF(OR($D$29="",$D$30=""),"År saknas",(($G109)*H109)*((1+(MID(I$108,12,2))/100)^(H$107-$D$29)))</f>
        <v>År saknas</v>
      </c>
      <c r="J109" s="56"/>
      <c r="K109" s="54" t="str">
        <f aca="false">IF(OR($D$29="",$D$30=""),"År saknas",(($G109)*J109)*((1+(MID(K$108,12,2))/100)^(J$107-$D$29)))</f>
        <v>År saknas</v>
      </c>
      <c r="L109" s="56"/>
      <c r="M109" s="54" t="str">
        <f aca="false">IF(OR($D$29="",$D$30=""),"År saknas",(($G109)*L109)*((1+(MID(M$108,12,2))/100)^(L$107-$D$29)))</f>
        <v>År saknas</v>
      </c>
      <c r="N109" s="56"/>
      <c r="O109" s="54" t="str">
        <f aca="false">IF(OR($D$29="",$D$30=""),"År saknas",(($G109)*N109)*((1+(MID(O$108,12,2))/100)^(N$107-$D$29)))</f>
        <v>År saknas</v>
      </c>
      <c r="P109" s="56"/>
      <c r="Q109" s="54" t="str">
        <f aca="false">IF(OR($D$29="",$D$30=""),"År saknas",(($G109)*P109)*((1+(MID(Q$108,12,2))/100)^(P$107-$D$29)))</f>
        <v>År saknas</v>
      </c>
      <c r="R109" s="20"/>
      <c r="U109" s="77"/>
      <c r="V109" s="77"/>
      <c r="W109" s="77"/>
      <c r="X109" s="77"/>
      <c r="Y109" s="77"/>
      <c r="Z109" s="77"/>
    </row>
    <row r="110" customFormat="false" ht="14.25" hidden="false" customHeight="false" outlineLevel="2" collapsed="false">
      <c r="B110" s="19"/>
      <c r="C110" s="53" t="s">
        <v>75</v>
      </c>
      <c r="D110" s="53"/>
      <c r="E110" s="53"/>
      <c r="F110" s="53"/>
      <c r="G110" s="55"/>
      <c r="H110" s="56"/>
      <c r="I110" s="54" t="str">
        <f aca="false">IF(OR($D$29="",$D$30=""),"År saknas",(($G110)*H110)*((1+(MID(I$108,12,2))/100)^(H$107-$D$29)))</f>
        <v>År saknas</v>
      </c>
      <c r="J110" s="56"/>
      <c r="K110" s="54" t="str">
        <f aca="false">IF(OR($D$29="",$D$30=""),"År saknas",(($G110)*J110)*((1+(MID(K$108,12,2))/100)^(J$107-$D$29)))</f>
        <v>År saknas</v>
      </c>
      <c r="L110" s="56"/>
      <c r="M110" s="54" t="str">
        <f aca="false">IF(OR($D$29="",$D$30=""),"År saknas",(($G110)*L110)*((1+(MID(M$108,12,2))/100)^(L$107-$D$29)))</f>
        <v>År saknas</v>
      </c>
      <c r="N110" s="56"/>
      <c r="O110" s="54" t="str">
        <f aca="false">IF(OR($D$29="",$D$30=""),"År saknas",(($G110)*N110)*((1+(MID(O$108,12,2))/100)^(N$107-$D$29)))</f>
        <v>År saknas</v>
      </c>
      <c r="P110" s="56"/>
      <c r="Q110" s="54" t="str">
        <f aca="false">IF(OR($D$29="",$D$30=""),"År saknas",(($G110)*P110)*((1+(MID(Q$108,12,2))/100)^(P$107-$D$29)))</f>
        <v>År saknas</v>
      </c>
      <c r="R110" s="20"/>
      <c r="U110" s="77"/>
      <c r="V110" s="77"/>
      <c r="W110" s="77"/>
      <c r="X110" s="77"/>
      <c r="Y110" s="77"/>
      <c r="Z110" s="77"/>
    </row>
    <row r="111" customFormat="false" ht="14.25" hidden="false" customHeight="false" outlineLevel="2" collapsed="false">
      <c r="B111" s="19"/>
      <c r="C111" s="53"/>
      <c r="D111" s="53"/>
      <c r="E111" s="53"/>
      <c r="F111" s="53"/>
      <c r="G111" s="55"/>
      <c r="H111" s="56"/>
      <c r="I111" s="54" t="str">
        <f aca="false">IF(OR($D$29="",$D$30=""),"År saknas",(($G111)*H111)*((1+(MID(I$108,12,2))/100)^(H$107-$D$29)))</f>
        <v>År saknas</v>
      </c>
      <c r="J111" s="56"/>
      <c r="K111" s="54" t="str">
        <f aca="false">IF(OR($D$29="",$D$30=""),"År saknas",(($G111)*J111)*((1+(MID(K$108,12,2))/100)^(J$107-$D$29)))</f>
        <v>År saknas</v>
      </c>
      <c r="L111" s="56"/>
      <c r="M111" s="54" t="str">
        <f aca="false">IF(OR($D$29="",$D$30=""),"År saknas",(($G111)*L111)*((1+(MID(M$108,12,2))/100)^(L$107-$D$29)))</f>
        <v>År saknas</v>
      </c>
      <c r="N111" s="56"/>
      <c r="O111" s="54" t="str">
        <f aca="false">IF(OR($D$29="",$D$30=""),"År saknas",(($G111)*N111)*((1+(MID(O$108,12,2))/100)^(N$107-$D$29)))</f>
        <v>År saknas</v>
      </c>
      <c r="P111" s="56"/>
      <c r="Q111" s="54" t="str">
        <f aca="false">IF(OR($D$29="",$D$30=""),"År saknas",(($G111)*P111)*((1+(MID(Q$108,12,2))/100)^(P$107-$D$29)))</f>
        <v>År saknas</v>
      </c>
      <c r="R111" s="20"/>
      <c r="U111" s="77"/>
      <c r="V111" s="77"/>
      <c r="W111" s="77"/>
      <c r="X111" s="77"/>
      <c r="Y111" s="77"/>
      <c r="Z111" s="77"/>
    </row>
    <row r="112" customFormat="false" ht="12" hidden="false" customHeight="false" outlineLevel="2" collapsed="false">
      <c r="B112" s="19"/>
      <c r="C112" s="25"/>
      <c r="Q112" s="26"/>
      <c r="R112" s="20"/>
      <c r="U112" s="77"/>
      <c r="V112" s="77"/>
      <c r="W112" s="77"/>
      <c r="X112" s="77"/>
      <c r="Y112" s="77"/>
      <c r="Z112" s="77"/>
    </row>
    <row r="113" customFormat="false" ht="14.25" hidden="false" customHeight="false" outlineLevel="1" collapsed="false">
      <c r="B113" s="19"/>
      <c r="C113" s="57" t="s">
        <v>76</v>
      </c>
      <c r="D113" s="57"/>
      <c r="E113" s="57"/>
      <c r="F113" s="57"/>
      <c r="G113" s="57"/>
      <c r="H113" s="60" t="n">
        <f aca="false">SUM(I$98:I99)+SUM(I$109:I111)+SUM(I$103:I105)</f>
        <v>0</v>
      </c>
      <c r="I113" s="60"/>
      <c r="J113" s="60" t="n">
        <f aca="false">SUM(K$98:K99)+SUM(K$109:K111)+SUM(K$103:K105)</f>
        <v>0</v>
      </c>
      <c r="K113" s="60"/>
      <c r="L113" s="60" t="n">
        <f aca="false">SUM(M$98:M99)+SUM(M$109:M111)+SUM(M$103:M105)</f>
        <v>0</v>
      </c>
      <c r="M113" s="60"/>
      <c r="N113" s="60" t="n">
        <f aca="false">SUM(O$98:O99)+SUM(O$109:O111)+SUM(O$103:O105)</f>
        <v>0</v>
      </c>
      <c r="O113" s="60"/>
      <c r="P113" s="61" t="n">
        <f aca="false">SUM(Q$98:Q99)+SUM(Q$109:Q111)+SUM(Q$103:Q105)</f>
        <v>0</v>
      </c>
      <c r="Q113" s="61"/>
      <c r="R113" s="20"/>
      <c r="U113" s="77"/>
      <c r="V113" s="77"/>
      <c r="W113" s="77"/>
      <c r="X113" s="77"/>
      <c r="Y113" s="77"/>
      <c r="Z113" s="77"/>
    </row>
    <row r="114" customFormat="false" ht="12" hidden="false" customHeight="false" outlineLevel="1" collapsed="false">
      <c r="B114" s="19"/>
      <c r="C114" s="25"/>
      <c r="Q114" s="26"/>
      <c r="R114" s="20"/>
      <c r="U114" s="77"/>
      <c r="V114" s="77"/>
      <c r="W114" s="77"/>
      <c r="X114" s="77"/>
      <c r="Y114" s="77"/>
      <c r="Z114" s="77"/>
    </row>
    <row r="115" customFormat="false" ht="14.25" hidden="false" customHeight="true" outlineLevel="0" collapsed="false">
      <c r="B115" s="19"/>
      <c r="C115" s="87" t="s">
        <v>77</v>
      </c>
      <c r="D115" s="87"/>
      <c r="E115" s="87"/>
      <c r="F115" s="88"/>
      <c r="G115" s="89"/>
      <c r="H115" s="67" t="n">
        <f aca="false">H113+H92+H78</f>
        <v>0</v>
      </c>
      <c r="I115" s="67"/>
      <c r="J115" s="67" t="n">
        <f aca="false">J113+J92+J78</f>
        <v>0</v>
      </c>
      <c r="K115" s="67"/>
      <c r="L115" s="67" t="n">
        <f aca="false">L113+L92+L78</f>
        <v>0</v>
      </c>
      <c r="M115" s="67"/>
      <c r="N115" s="67" t="n">
        <f aca="false">N113+N92+N78</f>
        <v>0</v>
      </c>
      <c r="O115" s="67"/>
      <c r="P115" s="67" t="n">
        <f aca="false">P113+P92+P78</f>
        <v>0</v>
      </c>
      <c r="Q115" s="67"/>
      <c r="R115" s="20"/>
      <c r="U115" s="77"/>
      <c r="V115" s="77"/>
      <c r="W115" s="77"/>
      <c r="X115" s="77"/>
      <c r="Y115" s="77"/>
      <c r="Z115" s="77"/>
    </row>
    <row r="116" customFormat="false" ht="12" hidden="false" customHeight="true" outlineLevel="0" collapsed="false">
      <c r="B116" s="19"/>
      <c r="C116" s="25"/>
      <c r="Q116" s="26"/>
      <c r="R116" s="20"/>
      <c r="U116" s="77" t="s">
        <v>78</v>
      </c>
      <c r="V116" s="77"/>
      <c r="W116" s="77"/>
      <c r="X116" s="77"/>
      <c r="Y116" s="77"/>
      <c r="Z116" s="77"/>
    </row>
    <row r="117" customFormat="false" ht="15" hidden="false" customHeight="false" outlineLevel="0" collapsed="false">
      <c r="B117" s="19"/>
      <c r="C117" s="41" t="s">
        <v>79</v>
      </c>
      <c r="Q117" s="26"/>
      <c r="R117" s="20"/>
      <c r="U117" s="77"/>
      <c r="V117" s="77"/>
      <c r="W117" s="77"/>
      <c r="X117" s="77"/>
      <c r="Y117" s="77"/>
      <c r="Z117" s="77"/>
    </row>
    <row r="118" customFormat="false" ht="12" hidden="false" customHeight="false" outlineLevel="0" collapsed="false">
      <c r="B118" s="19"/>
      <c r="C118" s="25"/>
      <c r="Q118" s="26"/>
      <c r="R118" s="20"/>
      <c r="U118" s="77"/>
      <c r="V118" s="77"/>
      <c r="W118" s="77"/>
      <c r="X118" s="77"/>
      <c r="Y118" s="77"/>
      <c r="Z118" s="77"/>
    </row>
    <row r="119" customFormat="false" ht="12" hidden="false" customHeight="false" outlineLevel="0" collapsed="false">
      <c r="B119" s="19"/>
      <c r="C119" s="90" t="str">
        <f aca="false">IF(LEFT($D$28,2)="UF",$D$28,"Universitetsgem.")</f>
        <v>Universitetsgem.</v>
      </c>
      <c r="D119" s="90"/>
      <c r="E119" s="90"/>
      <c r="F119" s="90"/>
      <c r="G119" s="91" t="n">
        <f aca="false">IF($D$28="",0,IF(LEFT($D$28,2)="UF",VLOOKUP($C$140,'INDI FO 2021'!$C:$G,5,0),VLOOKUP(LEFT($D$28,2),'INDI FO 2021'!$A:$G,6,0)))</f>
        <v>0</v>
      </c>
      <c r="P119" s="7"/>
      <c r="Q119" s="92"/>
      <c r="R119" s="20"/>
      <c r="U119" s="77"/>
      <c r="V119" s="77"/>
      <c r="W119" s="77"/>
      <c r="X119" s="77"/>
      <c r="Y119" s="77"/>
      <c r="Z119" s="77"/>
    </row>
    <row r="120" customFormat="false" ht="12" hidden="false" customHeight="false" outlineLevel="0" collapsed="false">
      <c r="B120" s="19"/>
      <c r="C120" s="90" t="str">
        <f aca="false">IF(LEFT($D$28,2)="UF","","Institutionsgem.")</f>
        <v>Institutionsgem.</v>
      </c>
      <c r="D120" s="90"/>
      <c r="E120" s="90"/>
      <c r="F120" s="90"/>
      <c r="G120" s="91" t="n">
        <f aca="false">IF($D$28="",0,IF(LEFT($D$28,2)="UF","",VLOOKUP(LEFT($D$28,2),'INDI FO 2021'!$A:$G,4,0)))</f>
        <v>0</v>
      </c>
      <c r="P120" s="7"/>
      <c r="Q120" s="92"/>
      <c r="R120" s="20"/>
      <c r="U120" s="77"/>
      <c r="V120" s="77"/>
      <c r="W120" s="77"/>
      <c r="X120" s="77"/>
      <c r="Y120" s="77"/>
      <c r="Z120" s="77"/>
    </row>
    <row r="121" customFormat="false" ht="12" hidden="false" customHeight="false" outlineLevel="0" collapsed="false">
      <c r="B121" s="19"/>
      <c r="C121" s="90" t="s">
        <v>80</v>
      </c>
      <c r="D121" s="90"/>
      <c r="E121" s="90"/>
      <c r="F121" s="90"/>
      <c r="G121" s="93" t="n">
        <v>0</v>
      </c>
      <c r="P121" s="7"/>
      <c r="Q121" s="92"/>
      <c r="R121" s="20"/>
      <c r="U121" s="77"/>
      <c r="V121" s="77"/>
      <c r="W121" s="77"/>
      <c r="X121" s="77"/>
      <c r="Y121" s="77"/>
      <c r="Z121" s="77"/>
    </row>
    <row r="122" customFormat="false" ht="12" hidden="false" customHeight="false" outlineLevel="0" collapsed="false">
      <c r="B122" s="19"/>
      <c r="C122" s="25"/>
      <c r="G122" s="94" t="n">
        <f aca="false">SUM(G119:G121)</f>
        <v>0</v>
      </c>
      <c r="P122" s="7"/>
      <c r="Q122" s="92"/>
      <c r="R122" s="20"/>
      <c r="U122" s="77"/>
      <c r="V122" s="77"/>
      <c r="W122" s="77"/>
      <c r="X122" s="77"/>
      <c r="Y122" s="77"/>
      <c r="Z122" s="77"/>
    </row>
    <row r="123" customFormat="false" ht="12" hidden="false" customHeight="false" outlineLevel="0" collapsed="false">
      <c r="B123" s="19"/>
      <c r="C123" s="25"/>
      <c r="P123" s="7"/>
      <c r="Q123" s="92"/>
      <c r="R123" s="20"/>
      <c r="U123" s="77"/>
      <c r="V123" s="77"/>
      <c r="W123" s="77"/>
      <c r="X123" s="77"/>
      <c r="Y123" s="77"/>
      <c r="Z123" s="77"/>
    </row>
    <row r="124" customFormat="false" ht="14.25" hidden="false" customHeight="true" outlineLevel="0" collapsed="false">
      <c r="B124" s="19"/>
      <c r="C124" s="87" t="s">
        <v>81</v>
      </c>
      <c r="D124" s="87"/>
      <c r="E124" s="87"/>
      <c r="F124" s="88"/>
      <c r="G124" s="89"/>
      <c r="H124" s="95" t="n">
        <f aca="false">((H92+H65)*$G122)</f>
        <v>0</v>
      </c>
      <c r="I124" s="95"/>
      <c r="J124" s="95" t="n">
        <f aca="false">((J92+J65)*$G122)</f>
        <v>0</v>
      </c>
      <c r="K124" s="95"/>
      <c r="L124" s="95" t="n">
        <f aca="false">((L92+L65)*$G122)</f>
        <v>0</v>
      </c>
      <c r="M124" s="95"/>
      <c r="N124" s="95" t="n">
        <f aca="false">((N92+N65)*$G122)</f>
        <v>0</v>
      </c>
      <c r="O124" s="95"/>
      <c r="P124" s="96" t="n">
        <f aca="false">((P92+P65)*$G122)</f>
        <v>0</v>
      </c>
      <c r="Q124" s="96"/>
      <c r="R124" s="20"/>
      <c r="U124" s="77"/>
      <c r="V124" s="77"/>
      <c r="W124" s="77"/>
      <c r="X124" s="77"/>
      <c r="Y124" s="77"/>
      <c r="Z124" s="77"/>
    </row>
    <row r="125" customFormat="false" ht="12" hidden="false" customHeight="false" outlineLevel="0" collapsed="false">
      <c r="B125" s="19"/>
      <c r="C125" s="25"/>
      <c r="P125" s="7"/>
      <c r="Q125" s="92"/>
      <c r="R125" s="20"/>
      <c r="U125" s="77"/>
      <c r="V125" s="77"/>
      <c r="W125" s="77"/>
      <c r="X125" s="77"/>
      <c r="Y125" s="77"/>
      <c r="Z125" s="77"/>
    </row>
    <row r="126" customFormat="false" ht="15" hidden="false" customHeight="false" outlineLevel="0" collapsed="false">
      <c r="B126" s="19"/>
      <c r="C126" s="41" t="s">
        <v>82</v>
      </c>
      <c r="P126" s="7"/>
      <c r="Q126" s="92"/>
      <c r="R126" s="20"/>
      <c r="U126" s="77"/>
      <c r="V126" s="77"/>
      <c r="W126" s="77"/>
      <c r="X126" s="77"/>
      <c r="Y126" s="77"/>
      <c r="Z126" s="77"/>
    </row>
    <row r="127" customFormat="false" ht="12" hidden="false" customHeight="true" outlineLevel="0" collapsed="false">
      <c r="B127" s="19"/>
      <c r="C127" s="25"/>
      <c r="P127" s="7"/>
      <c r="Q127" s="92"/>
      <c r="R127" s="20"/>
      <c r="U127" s="24" t="s">
        <v>83</v>
      </c>
      <c r="V127" s="24"/>
      <c r="W127" s="24"/>
      <c r="X127" s="24"/>
      <c r="Y127" s="24"/>
      <c r="Z127" s="24"/>
    </row>
    <row r="128" customFormat="false" ht="13.9" hidden="false" customHeight="true" outlineLevel="0" collapsed="false">
      <c r="B128" s="19"/>
      <c r="C128" s="90" t="s">
        <v>84</v>
      </c>
      <c r="D128" s="90"/>
      <c r="E128" s="90"/>
      <c r="F128" s="90"/>
      <c r="G128" s="97" t="n">
        <v>0</v>
      </c>
      <c r="K128" s="7"/>
      <c r="L128" s="7"/>
      <c r="M128" s="7"/>
      <c r="N128" s="7"/>
      <c r="O128" s="7"/>
      <c r="P128" s="7"/>
      <c r="Q128" s="98"/>
      <c r="R128" s="20"/>
      <c r="U128" s="24"/>
      <c r="V128" s="24"/>
      <c r="W128" s="24"/>
      <c r="X128" s="24"/>
      <c r="Y128" s="24"/>
      <c r="Z128" s="24"/>
    </row>
    <row r="129" customFormat="false" ht="13.9" hidden="false" customHeight="true" outlineLevel="0" collapsed="false">
      <c r="B129" s="19"/>
      <c r="C129" s="25"/>
      <c r="G129" s="99"/>
      <c r="K129" s="7"/>
      <c r="L129" s="7"/>
      <c r="M129" s="7"/>
      <c r="N129" s="7"/>
      <c r="O129" s="7"/>
      <c r="P129" s="7"/>
      <c r="Q129" s="98"/>
      <c r="R129" s="20"/>
      <c r="U129" s="24"/>
      <c r="V129" s="24"/>
      <c r="W129" s="24"/>
      <c r="X129" s="24"/>
      <c r="Y129" s="24"/>
      <c r="Z129" s="24"/>
    </row>
    <row r="130" customFormat="false" ht="13.9" hidden="false" customHeight="true" outlineLevel="0" collapsed="false">
      <c r="B130" s="19"/>
      <c r="C130" s="25"/>
      <c r="G130" s="99"/>
      <c r="K130" s="7"/>
      <c r="L130" s="7"/>
      <c r="M130" s="7"/>
      <c r="N130" s="7"/>
      <c r="O130" s="7"/>
      <c r="P130" s="7"/>
      <c r="Q130" s="98"/>
      <c r="R130" s="20"/>
      <c r="U130" s="24"/>
      <c r="V130" s="24"/>
      <c r="W130" s="24"/>
      <c r="X130" s="24"/>
      <c r="Y130" s="24"/>
      <c r="Z130" s="24"/>
    </row>
    <row r="131" customFormat="false" ht="15.75" hidden="false" customHeight="false" outlineLevel="0" collapsed="false">
      <c r="B131" s="19"/>
      <c r="C131" s="100" t="s">
        <v>85</v>
      </c>
      <c r="D131" s="101"/>
      <c r="E131" s="101"/>
      <c r="F131" s="101"/>
      <c r="G131" s="101"/>
      <c r="H131" s="102" t="n">
        <f aca="false">(H65+H115+H124)*(1+$G128)</f>
        <v>0</v>
      </c>
      <c r="I131" s="102"/>
      <c r="J131" s="102" t="n">
        <f aca="false">(J65+J115+J124)*(1+$G128)</f>
        <v>0</v>
      </c>
      <c r="K131" s="102"/>
      <c r="L131" s="102" t="n">
        <f aca="false">(L65+L115+L124)*(1+$G128)</f>
        <v>0</v>
      </c>
      <c r="M131" s="102"/>
      <c r="N131" s="102" t="n">
        <f aca="false">(N65+N115+N124)*(1+$G128)</f>
        <v>0</v>
      </c>
      <c r="O131" s="102"/>
      <c r="P131" s="102" t="n">
        <f aca="false">(P65+P115+P124)*(1+$G128)</f>
        <v>0</v>
      </c>
      <c r="Q131" s="102"/>
      <c r="R131" s="20"/>
      <c r="U131" s="24"/>
      <c r="V131" s="24"/>
      <c r="W131" s="24"/>
      <c r="X131" s="24"/>
      <c r="Y131" s="24"/>
      <c r="Z131" s="24"/>
    </row>
    <row r="132" customFormat="false" ht="12" hidden="false" customHeight="false" outlineLevel="0" collapsed="false">
      <c r="B132" s="19"/>
      <c r="R132" s="20"/>
      <c r="U132" s="24"/>
      <c r="V132" s="24"/>
      <c r="W132" s="24"/>
      <c r="X132" s="24"/>
      <c r="Y132" s="24"/>
      <c r="Z132" s="24"/>
    </row>
    <row r="133" customFormat="false" ht="12.75" hidden="false" customHeight="false" outlineLevel="0" collapsed="false">
      <c r="B133" s="19"/>
      <c r="R133" s="20"/>
      <c r="U133" s="24"/>
      <c r="V133" s="24"/>
      <c r="W133" s="24"/>
      <c r="X133" s="24"/>
      <c r="Y133" s="24"/>
      <c r="Z133" s="24"/>
    </row>
    <row r="134" customFormat="false" ht="18" hidden="false" customHeight="true" outlineLevel="0" collapsed="false">
      <c r="B134" s="19"/>
      <c r="C134" s="21" t="s">
        <v>86</v>
      </c>
      <c r="D134" s="22"/>
      <c r="E134" s="22"/>
      <c r="F134" s="22"/>
      <c r="G134" s="22"/>
      <c r="H134" s="22"/>
      <c r="I134" s="22"/>
      <c r="J134" s="22"/>
      <c r="K134" s="22"/>
      <c r="L134" s="22"/>
      <c r="M134" s="22"/>
      <c r="N134" s="22"/>
      <c r="O134" s="22"/>
      <c r="P134" s="22"/>
      <c r="Q134" s="23"/>
      <c r="R134" s="20"/>
      <c r="U134" s="103" t="s">
        <v>87</v>
      </c>
      <c r="V134" s="103"/>
      <c r="W134" s="103"/>
      <c r="X134" s="103"/>
      <c r="Y134" s="103"/>
      <c r="Z134" s="103"/>
    </row>
    <row r="135" customFormat="false" ht="12" hidden="false" customHeight="false" outlineLevel="0" collapsed="false">
      <c r="B135" s="19"/>
      <c r="C135" s="25"/>
      <c r="Q135" s="26"/>
      <c r="R135" s="20"/>
      <c r="U135" s="103"/>
      <c r="V135" s="103"/>
      <c r="W135" s="103"/>
      <c r="X135" s="103"/>
      <c r="Y135" s="103"/>
      <c r="Z135" s="103"/>
    </row>
    <row r="136" customFormat="false" ht="12" hidden="false" customHeight="false" outlineLevel="0" collapsed="false">
      <c r="B136" s="19"/>
      <c r="C136" s="104" t="s">
        <v>88</v>
      </c>
      <c r="D136" s="105"/>
      <c r="E136" s="105"/>
      <c r="F136" s="106" t="str">
        <f aca="false">IFERROR(F59&amp;"h á "&amp;(ROUND(((SUM($H65:Q65)+SUM($H124:Q124))/$F59)*(1+$G128),0)&amp;"kr"),"")</f>
        <v/>
      </c>
      <c r="G136" s="107" t="n">
        <f aca="false">(ROUND((SUM($H65:Q65)+SUM($H124:Q124)),0)*(1+$G128))</f>
        <v>0</v>
      </c>
      <c r="Q136" s="26"/>
      <c r="R136" s="20"/>
      <c r="U136" s="103"/>
      <c r="V136" s="103"/>
      <c r="W136" s="103"/>
      <c r="X136" s="103"/>
      <c r="Y136" s="103"/>
      <c r="Z136" s="103"/>
    </row>
    <row r="137" customFormat="false" ht="12" hidden="false" customHeight="false" outlineLevel="0" collapsed="false">
      <c r="B137" s="19"/>
      <c r="C137" s="104" t="s">
        <v>89</v>
      </c>
      <c r="D137" s="105"/>
      <c r="E137" s="105"/>
      <c r="F137" s="106"/>
      <c r="G137" s="107" t="n">
        <f aca="false">ROUND(SUM($H115:Q115),0)*(1+$G128)</f>
        <v>0</v>
      </c>
      <c r="Q137" s="26"/>
      <c r="R137" s="20"/>
      <c r="U137" s="103"/>
      <c r="V137" s="103"/>
      <c r="W137" s="103"/>
      <c r="X137" s="103"/>
      <c r="Y137" s="103"/>
      <c r="Z137" s="103"/>
    </row>
    <row r="138" customFormat="false" ht="12" hidden="false" customHeight="false" outlineLevel="0" collapsed="false">
      <c r="B138" s="19"/>
      <c r="C138" s="25"/>
      <c r="Q138" s="26"/>
      <c r="R138" s="20"/>
      <c r="U138" s="103"/>
      <c r="V138" s="103"/>
      <c r="W138" s="103"/>
      <c r="X138" s="103"/>
      <c r="Y138" s="103"/>
      <c r="Z138" s="103"/>
    </row>
    <row r="139" customFormat="false" ht="15" hidden="false" customHeight="false" outlineLevel="0" collapsed="false">
      <c r="B139" s="19"/>
      <c r="C139" s="104" t="s">
        <v>90</v>
      </c>
      <c r="D139" s="105"/>
      <c r="E139" s="105"/>
      <c r="F139" s="106"/>
      <c r="G139" s="108" t="n">
        <f aca="false">(SUM($H65:Q65)+SUM($H113:Q113)+SUM($H124:Q124)+SUM($H92:Q92))*(1+$G128)</f>
        <v>0</v>
      </c>
      <c r="Q139" s="26"/>
      <c r="R139" s="20"/>
      <c r="U139" s="103"/>
      <c r="V139" s="103"/>
      <c r="W139" s="103"/>
      <c r="X139" s="103"/>
      <c r="Y139" s="103"/>
      <c r="Z139" s="103"/>
    </row>
    <row r="140" customFormat="false" ht="12" hidden="false" customHeight="false" outlineLevel="0" collapsed="false">
      <c r="B140" s="19"/>
      <c r="C140" s="109"/>
      <c r="D140" s="110"/>
      <c r="E140" s="110"/>
      <c r="F140" s="110"/>
      <c r="G140" s="111"/>
      <c r="Q140" s="26"/>
      <c r="R140" s="20"/>
      <c r="U140" s="103"/>
      <c r="V140" s="103"/>
      <c r="W140" s="103"/>
      <c r="X140" s="103"/>
      <c r="Y140" s="103"/>
      <c r="Z140" s="103"/>
    </row>
    <row r="141" customFormat="false" ht="15" hidden="false" customHeight="false" outlineLevel="0" collapsed="false">
      <c r="B141" s="19"/>
      <c r="C141" s="104" t="str">
        <f aca="false">IF(G141="","Moms redogörs här vid externa uppdrag","VARAV MOMS")</f>
        <v>VARAV MOMS</v>
      </c>
      <c r="D141" s="105"/>
      <c r="E141" s="105"/>
      <c r="F141" s="106"/>
      <c r="G141" s="108" t="n">
        <f aca="false">IF(G142="","",G142-G139)</f>
        <v>0</v>
      </c>
      <c r="Q141" s="26"/>
      <c r="R141" s="20"/>
      <c r="U141" s="103"/>
      <c r="V141" s="103"/>
      <c r="W141" s="103"/>
      <c r="X141" s="103"/>
      <c r="Y141" s="103"/>
      <c r="Z141" s="103"/>
    </row>
    <row r="142" customFormat="false" ht="15" hidden="false" customHeight="false" outlineLevel="0" collapsed="false">
      <c r="B142" s="19"/>
      <c r="C142" s="104" t="str">
        <f aca="false">IF(G142="","Internt, statligt och oftast utländska uppdrag debiteras exkl moms","SUMMA KOSTNADER (INKL 25% MOMS)")</f>
        <v>SUMMA KOSTNADER (INKL 25% MOMS)</v>
      </c>
      <c r="D142" s="105"/>
      <c r="E142" s="105"/>
      <c r="F142" s="106"/>
      <c r="G142" s="108" t="n">
        <f aca="false">IF(OR($D$28="UF - Internt",$D$33="Internt",$D$33="Statligt",$D$33="Övr. utan moms",),"",G139*1.25)</f>
        <v>0</v>
      </c>
      <c r="Q142" s="26"/>
      <c r="R142" s="20"/>
      <c r="U142" s="103"/>
      <c r="V142" s="103"/>
      <c r="W142" s="103"/>
      <c r="X142" s="103"/>
      <c r="Y142" s="103"/>
      <c r="Z142" s="103"/>
    </row>
    <row r="143" customFormat="false" ht="12.75" hidden="false" customHeight="false" outlineLevel="0" collapsed="false">
      <c r="B143" s="19"/>
      <c r="C143" s="112"/>
      <c r="D143" s="113"/>
      <c r="E143" s="113"/>
      <c r="F143" s="113"/>
      <c r="G143" s="113"/>
      <c r="H143" s="113"/>
      <c r="I143" s="113"/>
      <c r="J143" s="113"/>
      <c r="K143" s="113"/>
      <c r="L143" s="113"/>
      <c r="M143" s="113"/>
      <c r="N143" s="113"/>
      <c r="O143" s="113"/>
      <c r="P143" s="113"/>
      <c r="Q143" s="114"/>
      <c r="R143" s="20"/>
      <c r="U143" s="103"/>
      <c r="V143" s="103"/>
      <c r="W143" s="103"/>
      <c r="X143" s="103"/>
      <c r="Y143" s="103"/>
      <c r="Z143" s="103"/>
    </row>
    <row r="144" customFormat="false" ht="12" hidden="false" customHeight="false" outlineLevel="0" collapsed="false">
      <c r="B144" s="19"/>
      <c r="R144" s="20"/>
      <c r="U144" s="103"/>
      <c r="V144" s="103"/>
      <c r="W144" s="103"/>
      <c r="X144" s="103"/>
      <c r="Y144" s="103"/>
      <c r="Z144" s="103"/>
    </row>
    <row r="145" customFormat="false" ht="12" hidden="false" customHeight="false" outlineLevel="0" collapsed="false">
      <c r="B145" s="19"/>
      <c r="C145" s="7" t="s">
        <v>22</v>
      </c>
      <c r="D145" s="7"/>
      <c r="E145" s="7" t="s">
        <v>91</v>
      </c>
      <c r="F145" s="7"/>
      <c r="G145" s="7" t="s">
        <v>92</v>
      </c>
      <c r="H145" s="7"/>
      <c r="J145" s="7" t="s">
        <v>93</v>
      </c>
      <c r="K145" s="7"/>
      <c r="R145" s="20"/>
      <c r="U145" s="103"/>
      <c r="V145" s="103"/>
      <c r="W145" s="103"/>
      <c r="X145" s="103"/>
      <c r="Y145" s="103"/>
      <c r="Z145" s="103"/>
    </row>
    <row r="146" customFormat="false" ht="12" hidden="false" customHeight="false" outlineLevel="0" collapsed="false">
      <c r="B146" s="19"/>
      <c r="C146" s="7"/>
      <c r="D146" s="7"/>
      <c r="E146" s="7"/>
      <c r="F146" s="7"/>
      <c r="G146" s="7"/>
      <c r="H146" s="7"/>
      <c r="J146" s="7"/>
      <c r="K146" s="7"/>
      <c r="R146" s="20"/>
      <c r="U146" s="103"/>
      <c r="V146" s="103"/>
      <c r="W146" s="103"/>
      <c r="X146" s="103"/>
      <c r="Y146" s="103"/>
      <c r="Z146" s="103"/>
    </row>
    <row r="147" s="7" customFormat="true" ht="12" hidden="false" customHeight="false" outlineLevel="0" collapsed="false">
      <c r="A147" s="6"/>
      <c r="B147" s="19"/>
      <c r="C147" s="115"/>
      <c r="E147" s="115"/>
      <c r="G147" s="115"/>
      <c r="H147" s="115"/>
      <c r="J147" s="115"/>
      <c r="K147" s="115"/>
      <c r="R147" s="20"/>
      <c r="S147" s="6"/>
      <c r="T147" s="6"/>
      <c r="U147" s="103"/>
      <c r="V147" s="103"/>
      <c r="W147" s="103"/>
      <c r="X147" s="103"/>
      <c r="Y147" s="103"/>
      <c r="Z147" s="103"/>
    </row>
    <row r="148" s="7" customFormat="true" ht="12" hidden="false" customHeight="false" outlineLevel="0" collapsed="false">
      <c r="A148" s="6"/>
      <c r="B148" s="19"/>
      <c r="C148" s="7" t="s">
        <v>94</v>
      </c>
      <c r="E148" s="7" t="s">
        <v>94</v>
      </c>
      <c r="G148" s="7" t="s">
        <v>94</v>
      </c>
      <c r="J148" s="7" t="s">
        <v>94</v>
      </c>
      <c r="R148" s="20"/>
      <c r="S148" s="6"/>
      <c r="T148" s="6"/>
      <c r="U148" s="103"/>
      <c r="V148" s="103"/>
      <c r="W148" s="103"/>
      <c r="X148" s="103"/>
      <c r="Y148" s="103"/>
      <c r="Z148" s="103"/>
    </row>
    <row r="149" s="7" customFormat="true" ht="12" hidden="false" customHeight="true" outlineLevel="0" collapsed="false">
      <c r="A149" s="6"/>
      <c r="B149" s="19"/>
      <c r="R149" s="20"/>
      <c r="S149" s="6"/>
      <c r="T149" s="6"/>
      <c r="U149" s="103"/>
      <c r="V149" s="103"/>
      <c r="W149" s="103"/>
      <c r="X149" s="103"/>
      <c r="Y149" s="103"/>
      <c r="Z149" s="103"/>
    </row>
    <row r="150" customFormat="false" ht="12" hidden="false" customHeight="true" outlineLevel="0" collapsed="false">
      <c r="B150" s="19"/>
      <c r="C150" s="116"/>
      <c r="D150" s="7"/>
      <c r="E150" s="116"/>
      <c r="F150" s="7"/>
      <c r="G150" s="116"/>
      <c r="H150" s="116"/>
      <c r="J150" s="116"/>
      <c r="K150" s="116"/>
      <c r="R150" s="20"/>
      <c r="U150" s="103"/>
      <c r="V150" s="103"/>
      <c r="W150" s="103"/>
      <c r="X150" s="103"/>
      <c r="Y150" s="103"/>
      <c r="Z150" s="103"/>
    </row>
    <row r="151" s="7" customFormat="true" ht="12" hidden="false" customHeight="true" outlineLevel="0" collapsed="false">
      <c r="A151" s="6"/>
      <c r="B151" s="19"/>
      <c r="C151" s="7" t="s">
        <v>95</v>
      </c>
      <c r="E151" s="7" t="s">
        <v>95</v>
      </c>
      <c r="G151" s="7" t="s">
        <v>95</v>
      </c>
      <c r="J151" s="7" t="s">
        <v>95</v>
      </c>
      <c r="R151" s="20"/>
      <c r="S151" s="6"/>
      <c r="T151" s="6"/>
      <c r="U151" s="103"/>
      <c r="V151" s="103"/>
      <c r="W151" s="103"/>
      <c r="X151" s="103"/>
      <c r="Y151" s="103"/>
      <c r="Z151" s="103"/>
    </row>
    <row r="152" customFormat="false" ht="12.75" hidden="false" customHeight="false" outlineLevel="0" collapsed="false">
      <c r="B152" s="117"/>
      <c r="C152" s="118"/>
      <c r="D152" s="118"/>
      <c r="E152" s="118"/>
      <c r="F152" s="118"/>
      <c r="G152" s="118"/>
      <c r="H152" s="118"/>
      <c r="I152" s="118"/>
      <c r="J152" s="118"/>
      <c r="K152" s="118"/>
      <c r="L152" s="118"/>
      <c r="M152" s="118"/>
      <c r="N152" s="118"/>
      <c r="O152" s="118"/>
      <c r="P152" s="118"/>
      <c r="Q152" s="118"/>
      <c r="R152" s="119"/>
      <c r="U152" s="103"/>
      <c r="V152" s="103"/>
      <c r="W152" s="103"/>
      <c r="X152" s="103"/>
      <c r="Y152" s="103"/>
      <c r="Z152" s="103"/>
    </row>
    <row r="153" customFormat="false" ht="13.5" hidden="false" customHeight="false" outlineLevel="0" collapsed="false"/>
    <row r="154" customFormat="false" ht="12" hidden="false" customHeight="true" outlineLevel="0" collapsed="false">
      <c r="B154" s="16"/>
      <c r="C154" s="17"/>
      <c r="D154" s="17"/>
      <c r="E154" s="17"/>
      <c r="F154" s="17"/>
      <c r="G154" s="17"/>
      <c r="H154" s="18"/>
      <c r="P154" s="7"/>
      <c r="Q154" s="7"/>
      <c r="R154" s="7"/>
      <c r="S154" s="7"/>
      <c r="T154" s="7"/>
      <c r="U154" s="120" t="s">
        <v>96</v>
      </c>
      <c r="V154" s="120"/>
      <c r="W154" s="120"/>
      <c r="X154" s="120"/>
      <c r="Y154" s="120"/>
      <c r="Z154" s="120"/>
    </row>
    <row r="155" customFormat="false" ht="14.25" hidden="false" customHeight="false" outlineLevel="0" collapsed="false">
      <c r="B155" s="19"/>
      <c r="C155" s="121" t="s">
        <v>97</v>
      </c>
      <c r="D155" s="122"/>
      <c r="E155" s="122"/>
      <c r="F155" s="122"/>
      <c r="G155" s="122"/>
      <c r="H155" s="20"/>
      <c r="P155" s="7"/>
      <c r="Q155" s="7"/>
      <c r="R155" s="7"/>
      <c r="S155" s="7"/>
      <c r="T155" s="7"/>
      <c r="U155" s="120"/>
      <c r="V155" s="120"/>
      <c r="W155" s="120"/>
      <c r="X155" s="120"/>
      <c r="Y155" s="120"/>
      <c r="Z155" s="120"/>
    </row>
    <row r="156" customFormat="false" ht="11.45" hidden="false" customHeight="true" outlineLevel="0" collapsed="false">
      <c r="B156" s="19"/>
      <c r="H156" s="20"/>
      <c r="P156" s="7"/>
      <c r="Q156" s="7"/>
      <c r="R156" s="7"/>
      <c r="S156" s="7"/>
      <c r="T156" s="7"/>
      <c r="U156" s="120"/>
      <c r="V156" s="120"/>
      <c r="W156" s="120"/>
      <c r="X156" s="120"/>
      <c r="Y156" s="120"/>
      <c r="Z156" s="120"/>
    </row>
    <row r="157" customFormat="false" ht="11.45" hidden="false" customHeight="true" outlineLevel="0" collapsed="false">
      <c r="B157" s="19"/>
      <c r="C157" s="123" t="s">
        <v>98</v>
      </c>
      <c r="D157" s="124"/>
      <c r="E157" s="125" t="n">
        <v>100000</v>
      </c>
      <c r="H157" s="20"/>
      <c r="P157" s="7"/>
      <c r="Q157" s="7"/>
      <c r="R157" s="7"/>
      <c r="S157" s="7"/>
      <c r="T157" s="7"/>
      <c r="U157" s="120"/>
      <c r="V157" s="120"/>
      <c r="W157" s="120"/>
      <c r="X157" s="120"/>
      <c r="Y157" s="120"/>
      <c r="Z157" s="120"/>
    </row>
    <row r="158" customFormat="false" ht="11.45" hidden="false" customHeight="true" outlineLevel="0" collapsed="false">
      <c r="B158" s="19"/>
      <c r="H158" s="20"/>
      <c r="P158" s="7"/>
      <c r="Q158" s="7"/>
      <c r="R158" s="7"/>
      <c r="S158" s="7"/>
      <c r="T158" s="7"/>
      <c r="U158" s="120"/>
      <c r="V158" s="120"/>
      <c r="W158" s="120"/>
      <c r="X158" s="120"/>
      <c r="Y158" s="120"/>
      <c r="Z158" s="120"/>
    </row>
    <row r="159" customFormat="false" ht="11.45" hidden="false" customHeight="true" outlineLevel="0" collapsed="false">
      <c r="B159" s="19"/>
      <c r="C159" s="86" t="s">
        <v>99</v>
      </c>
      <c r="D159" s="86" t="s">
        <v>100</v>
      </c>
      <c r="E159" s="86" t="s">
        <v>101</v>
      </c>
      <c r="H159" s="20"/>
      <c r="P159" s="7"/>
      <c r="Q159" s="7"/>
      <c r="R159" s="7"/>
      <c r="S159" s="7"/>
      <c r="T159" s="7"/>
      <c r="U159" s="120"/>
      <c r="V159" s="120"/>
      <c r="W159" s="120"/>
      <c r="X159" s="120"/>
      <c r="Y159" s="120"/>
      <c r="Z159" s="120"/>
    </row>
    <row r="160" customFormat="false" ht="11.45" hidden="false" customHeight="true" outlineLevel="0" collapsed="false">
      <c r="B160" s="19"/>
      <c r="C160" s="64" t="s">
        <v>102</v>
      </c>
      <c r="D160" s="126" t="n">
        <v>260</v>
      </c>
      <c r="E160" s="126" t="n">
        <f aca="false">52*40</f>
        <v>2080</v>
      </c>
      <c r="H160" s="20"/>
      <c r="P160" s="7"/>
      <c r="Q160" s="7"/>
      <c r="R160" s="7"/>
      <c r="S160" s="7"/>
      <c r="T160" s="7"/>
      <c r="U160" s="120"/>
      <c r="V160" s="120"/>
      <c r="W160" s="120"/>
      <c r="X160" s="120"/>
      <c r="Y160" s="120"/>
      <c r="Z160" s="120"/>
    </row>
    <row r="161" customFormat="false" ht="11.45" hidden="false" customHeight="true" outlineLevel="0" collapsed="false">
      <c r="B161" s="19"/>
      <c r="C161" s="64" t="s">
        <v>103</v>
      </c>
      <c r="D161" s="126" t="n">
        <v>10</v>
      </c>
      <c r="E161" s="126" t="n">
        <f aca="false">2*40</f>
        <v>80</v>
      </c>
      <c r="H161" s="20"/>
      <c r="P161" s="7"/>
      <c r="Q161" s="7"/>
      <c r="R161" s="7"/>
      <c r="S161" s="7"/>
      <c r="T161" s="7"/>
      <c r="U161" s="120"/>
      <c r="V161" s="120"/>
      <c r="W161" s="120"/>
      <c r="X161" s="120"/>
      <c r="Y161" s="120"/>
      <c r="Z161" s="120"/>
    </row>
    <row r="162" customFormat="false" ht="11.45" hidden="false" customHeight="true" outlineLevel="0" collapsed="false">
      <c r="B162" s="19"/>
      <c r="C162" s="127" t="s">
        <v>104</v>
      </c>
      <c r="D162" s="128" t="n">
        <f aca="false">D160-D161</f>
        <v>250</v>
      </c>
      <c r="E162" s="128" t="n">
        <f aca="false">E160-E161</f>
        <v>2000</v>
      </c>
      <c r="H162" s="20"/>
      <c r="P162" s="7"/>
      <c r="Q162" s="7"/>
      <c r="R162" s="7"/>
      <c r="S162" s="7"/>
      <c r="T162" s="7"/>
      <c r="U162" s="120"/>
      <c r="V162" s="120"/>
      <c r="W162" s="120"/>
      <c r="X162" s="120"/>
      <c r="Y162" s="120"/>
      <c r="Z162" s="120"/>
    </row>
    <row r="163" customFormat="false" ht="11.45" hidden="false" customHeight="true" outlineLevel="0" collapsed="false">
      <c r="B163" s="19"/>
      <c r="C163" s="64" t="s">
        <v>105</v>
      </c>
      <c r="D163" s="129" t="n">
        <v>35</v>
      </c>
      <c r="E163" s="126" t="n">
        <f aca="false">D163*8</f>
        <v>280</v>
      </c>
      <c r="H163" s="20"/>
      <c r="P163" s="7"/>
      <c r="Q163" s="7"/>
      <c r="R163" s="7"/>
      <c r="S163" s="7"/>
      <c r="T163" s="7"/>
      <c r="U163" s="120"/>
      <c r="V163" s="120"/>
      <c r="W163" s="120"/>
      <c r="X163" s="120"/>
      <c r="Y163" s="120"/>
      <c r="Z163" s="120"/>
    </row>
    <row r="164" customFormat="false" ht="11.45" hidden="false" customHeight="true" outlineLevel="0" collapsed="false">
      <c r="B164" s="19"/>
      <c r="C164" s="64" t="s">
        <v>106</v>
      </c>
      <c r="D164" s="129" t="n">
        <v>5</v>
      </c>
      <c r="E164" s="126" t="n">
        <f aca="false">D164*8</f>
        <v>40</v>
      </c>
      <c r="H164" s="20"/>
      <c r="P164" s="7"/>
      <c r="Q164" s="7"/>
      <c r="R164" s="7"/>
      <c r="S164" s="7"/>
      <c r="T164" s="7"/>
      <c r="U164" s="120"/>
      <c r="V164" s="120"/>
      <c r="W164" s="120"/>
      <c r="X164" s="120"/>
      <c r="Y164" s="120"/>
      <c r="Z164" s="120"/>
    </row>
    <row r="165" customFormat="false" ht="12" hidden="false" customHeight="true" outlineLevel="0" collapsed="false">
      <c r="B165" s="19"/>
      <c r="C165" s="130" t="s">
        <v>107</v>
      </c>
      <c r="D165" s="131" t="n">
        <f aca="false">D162-D163-D164</f>
        <v>210</v>
      </c>
      <c r="E165" s="131" t="n">
        <f aca="false">E162-E163-E164</f>
        <v>1680</v>
      </c>
      <c r="H165" s="20"/>
      <c r="P165" s="7"/>
      <c r="Q165" s="7"/>
      <c r="R165" s="7"/>
      <c r="S165" s="7"/>
      <c r="T165" s="7"/>
      <c r="U165" s="120"/>
      <c r="V165" s="120"/>
      <c r="W165" s="120"/>
      <c r="X165" s="120"/>
      <c r="Y165" s="120"/>
      <c r="Z165" s="120"/>
    </row>
    <row r="166" customFormat="false" ht="11.45" hidden="false" customHeight="true" outlineLevel="0" collapsed="false">
      <c r="B166" s="19"/>
      <c r="C166" s="64" t="s">
        <v>108</v>
      </c>
      <c r="D166" s="129" t="n">
        <v>10</v>
      </c>
      <c r="E166" s="126" t="n">
        <f aca="false">D166*8</f>
        <v>80</v>
      </c>
      <c r="H166" s="20"/>
      <c r="P166" s="7"/>
      <c r="Q166" s="7"/>
      <c r="R166" s="7"/>
      <c r="S166" s="7"/>
      <c r="T166" s="7"/>
      <c r="U166" s="120"/>
      <c r="V166" s="120"/>
      <c r="W166" s="120"/>
      <c r="X166" s="120"/>
      <c r="Y166" s="120"/>
      <c r="Z166" s="120"/>
    </row>
    <row r="167" customFormat="false" ht="11.45" hidden="false" customHeight="true" outlineLevel="0" collapsed="false">
      <c r="B167" s="19"/>
      <c r="C167" s="64" t="s">
        <v>109</v>
      </c>
      <c r="D167" s="129" t="n">
        <v>25</v>
      </c>
      <c r="E167" s="126" t="n">
        <f aca="false">D167*8</f>
        <v>200</v>
      </c>
      <c r="H167" s="20"/>
      <c r="P167" s="7"/>
      <c r="Q167" s="7"/>
      <c r="R167" s="7"/>
      <c r="S167" s="7"/>
      <c r="T167" s="7"/>
      <c r="U167" s="120"/>
      <c r="V167" s="120"/>
      <c r="W167" s="120"/>
      <c r="X167" s="120"/>
      <c r="Y167" s="120"/>
      <c r="Z167" s="120"/>
    </row>
    <row r="168" customFormat="false" ht="11.45" hidden="false" customHeight="true" outlineLevel="0" collapsed="false">
      <c r="B168" s="19"/>
      <c r="C168" s="64" t="s">
        <v>110</v>
      </c>
      <c r="D168" s="129" t="n">
        <v>25</v>
      </c>
      <c r="E168" s="126" t="n">
        <f aca="false">D168*8</f>
        <v>200</v>
      </c>
      <c r="H168" s="20"/>
      <c r="P168" s="7"/>
      <c r="Q168" s="7"/>
      <c r="R168" s="7"/>
      <c r="S168" s="7"/>
      <c r="T168" s="7"/>
      <c r="U168" s="120"/>
      <c r="V168" s="120"/>
      <c r="W168" s="120"/>
      <c r="X168" s="120"/>
      <c r="Y168" s="120"/>
      <c r="Z168" s="120"/>
    </row>
    <row r="169" customFormat="false" ht="11.45" hidden="false" customHeight="true" outlineLevel="0" collapsed="false">
      <c r="B169" s="19"/>
      <c r="C169" s="127" t="s">
        <v>111</v>
      </c>
      <c r="D169" s="128" t="n">
        <f aca="false">SUM(D166:D168)</f>
        <v>60</v>
      </c>
      <c r="E169" s="128" t="n">
        <f aca="false">SUM(E166:E168)</f>
        <v>480</v>
      </c>
      <c r="H169" s="20"/>
      <c r="P169" s="7"/>
      <c r="Q169" s="7"/>
      <c r="R169" s="7"/>
      <c r="S169" s="7"/>
      <c r="T169" s="7"/>
      <c r="U169" s="120"/>
      <c r="V169" s="120"/>
      <c r="W169" s="120"/>
      <c r="X169" s="120"/>
      <c r="Y169" s="120"/>
      <c r="Z169" s="120"/>
    </row>
    <row r="170" customFormat="false" ht="12" hidden="false" customHeight="true" outlineLevel="0" collapsed="false">
      <c r="B170" s="19"/>
      <c r="C170" s="130" t="s">
        <v>112</v>
      </c>
      <c r="D170" s="131" t="n">
        <f aca="false">D165-D169</f>
        <v>150</v>
      </c>
      <c r="E170" s="131" t="n">
        <f aca="false">E165-E169</f>
        <v>1200</v>
      </c>
      <c r="H170" s="20"/>
      <c r="P170" s="7"/>
      <c r="Q170" s="7"/>
      <c r="R170" s="7"/>
      <c r="S170" s="7"/>
      <c r="T170" s="7"/>
      <c r="U170" s="120"/>
      <c r="V170" s="120"/>
      <c r="W170" s="120"/>
      <c r="X170" s="120"/>
      <c r="Y170" s="120"/>
      <c r="Z170" s="120"/>
    </row>
    <row r="171" customFormat="false" ht="11.45" hidden="false" customHeight="true" outlineLevel="0" collapsed="false">
      <c r="B171" s="19"/>
      <c r="H171" s="20"/>
      <c r="P171" s="7"/>
      <c r="Q171" s="7"/>
      <c r="R171" s="7"/>
      <c r="S171" s="7"/>
      <c r="T171" s="7"/>
      <c r="U171" s="120"/>
      <c r="V171" s="120"/>
      <c r="W171" s="120"/>
      <c r="X171" s="120"/>
      <c r="Y171" s="120"/>
      <c r="Z171" s="120"/>
    </row>
    <row r="172" customFormat="false" ht="11.45" hidden="false" customHeight="true" outlineLevel="0" collapsed="false">
      <c r="B172" s="19"/>
      <c r="C172" s="132" t="str">
        <f aca="false">IF(G172=0,"Ange månadslön","Månadsersättning exkl. LKP Interna uppdrag:")</f>
        <v>Månadsersättning exkl. LKP Interna uppdrag:</v>
      </c>
      <c r="D172" s="132"/>
      <c r="E172" s="133" t="n">
        <f aca="false">E157/E170*E170</f>
        <v>100000</v>
      </c>
      <c r="F172" s="7" t="s">
        <v>113</v>
      </c>
      <c r="G172" s="134" t="n">
        <f aca="false">ROUND(E157/(E165/12),2)</f>
        <v>714.29</v>
      </c>
      <c r="H172" s="20" t="s">
        <v>114</v>
      </c>
      <c r="P172" s="7"/>
      <c r="Q172" s="7"/>
      <c r="R172" s="7"/>
      <c r="S172" s="7"/>
      <c r="T172" s="7"/>
      <c r="U172" s="120"/>
      <c r="V172" s="120"/>
      <c r="W172" s="120"/>
      <c r="X172" s="120"/>
      <c r="Y172" s="120"/>
      <c r="Z172" s="120"/>
    </row>
    <row r="173" customFormat="false" ht="12.75" hidden="false" customHeight="false" outlineLevel="0" collapsed="false">
      <c r="B173" s="19"/>
      <c r="C173" s="135"/>
      <c r="E173" s="136"/>
      <c r="F173" s="7"/>
      <c r="G173" s="137"/>
      <c r="H173" s="20"/>
      <c r="P173" s="7"/>
      <c r="Q173" s="7"/>
      <c r="R173" s="7"/>
      <c r="S173" s="7"/>
      <c r="T173" s="7"/>
      <c r="U173" s="120"/>
      <c r="V173" s="120"/>
      <c r="W173" s="120"/>
      <c r="X173" s="120"/>
      <c r="Y173" s="120"/>
      <c r="Z173" s="120"/>
    </row>
    <row r="174" customFormat="false" ht="12" hidden="false" customHeight="false" outlineLevel="0" collapsed="false">
      <c r="B174" s="19"/>
      <c r="C174" s="132" t="str">
        <f aca="false">IF(G174=0,"Ange månadslön","Månadsersättning exkl. LKP Externa uppdrag:")</f>
        <v>Månadsersättning exkl. LKP Externa uppdrag:</v>
      </c>
      <c r="D174" s="132"/>
      <c r="E174" s="133" t="n">
        <f aca="false">E157/E170*E165</f>
        <v>140000</v>
      </c>
      <c r="F174" s="7" t="s">
        <v>113</v>
      </c>
      <c r="G174" s="134" t="n">
        <f aca="false">ROUND(E157/(E170/12),2)</f>
        <v>1000</v>
      </c>
      <c r="H174" s="20" t="s">
        <v>114</v>
      </c>
      <c r="P174" s="7"/>
      <c r="Q174" s="7"/>
      <c r="R174" s="7"/>
      <c r="S174" s="7"/>
      <c r="T174" s="7"/>
      <c r="U174" s="120"/>
      <c r="V174" s="120"/>
      <c r="W174" s="120"/>
      <c r="X174" s="120"/>
      <c r="Y174" s="120"/>
      <c r="Z174" s="120"/>
    </row>
    <row r="175" customFormat="false" ht="12" hidden="false" customHeight="true" outlineLevel="0" collapsed="false">
      <c r="B175" s="117"/>
      <c r="C175" s="118"/>
      <c r="D175" s="118"/>
      <c r="E175" s="118"/>
      <c r="F175" s="118"/>
      <c r="G175" s="118"/>
      <c r="H175" s="119"/>
      <c r="P175" s="7"/>
      <c r="Q175" s="7"/>
      <c r="R175" s="7"/>
      <c r="S175" s="7"/>
      <c r="T175" s="7"/>
      <c r="U175" s="120"/>
      <c r="V175" s="120"/>
      <c r="W175" s="120"/>
      <c r="X175" s="120"/>
      <c r="Y175" s="120"/>
      <c r="Z175" s="120"/>
    </row>
    <row r="176" customFormat="false" ht="12.75" hidden="false" customHeight="false" outlineLevel="0" collapsed="false"/>
    <row r="177" customFormat="false" ht="12" hidden="false" customHeight="false" outlineLevel="0" collapsed="false">
      <c r="E177" s="138"/>
    </row>
  </sheetData>
  <mergeCells count="138">
    <mergeCell ref="U3:Z25"/>
    <mergeCell ref="B6:R21"/>
    <mergeCell ref="U26:Z40"/>
    <mergeCell ref="D35:E35"/>
    <mergeCell ref="D36:E36"/>
    <mergeCell ref="D37:E37"/>
    <mergeCell ref="U42:Y42"/>
    <mergeCell ref="H43:I43"/>
    <mergeCell ref="J43:K43"/>
    <mergeCell ref="L43:M43"/>
    <mergeCell ref="N43:O43"/>
    <mergeCell ref="P43:Q43"/>
    <mergeCell ref="U43:Z66"/>
    <mergeCell ref="H46:I46"/>
    <mergeCell ref="J46:K46"/>
    <mergeCell ref="L46:M46"/>
    <mergeCell ref="N46:O46"/>
    <mergeCell ref="P46:Q46"/>
    <mergeCell ref="D47:E47"/>
    <mergeCell ref="D48:E48"/>
    <mergeCell ref="D49:E49"/>
    <mergeCell ref="D50:E50"/>
    <mergeCell ref="D51:E51"/>
    <mergeCell ref="D52:E52"/>
    <mergeCell ref="D53:E53"/>
    <mergeCell ref="D54:E54"/>
    <mergeCell ref="D55:E55"/>
    <mergeCell ref="D56:E56"/>
    <mergeCell ref="D57:E57"/>
    <mergeCell ref="H59:I59"/>
    <mergeCell ref="J59:K59"/>
    <mergeCell ref="L59:M59"/>
    <mergeCell ref="N59:O59"/>
    <mergeCell ref="P59:Q59"/>
    <mergeCell ref="C61:F61"/>
    <mergeCell ref="C62:F62"/>
    <mergeCell ref="C65:G65"/>
    <mergeCell ref="H65:I65"/>
    <mergeCell ref="J65:K65"/>
    <mergeCell ref="L65:M65"/>
    <mergeCell ref="N65:O65"/>
    <mergeCell ref="P65:Q65"/>
    <mergeCell ref="H72:I72"/>
    <mergeCell ref="J72:K72"/>
    <mergeCell ref="L72:M72"/>
    <mergeCell ref="N72:O72"/>
    <mergeCell ref="P72:Q72"/>
    <mergeCell ref="C73:F73"/>
    <mergeCell ref="C74:F74"/>
    <mergeCell ref="C75:F75"/>
    <mergeCell ref="C76:F76"/>
    <mergeCell ref="C78:G78"/>
    <mergeCell ref="H78:I78"/>
    <mergeCell ref="J78:K78"/>
    <mergeCell ref="L78:M78"/>
    <mergeCell ref="N78:O78"/>
    <mergeCell ref="P78:Q78"/>
    <mergeCell ref="U80:Z93"/>
    <mergeCell ref="H81:I81"/>
    <mergeCell ref="J81:K81"/>
    <mergeCell ref="L81:M81"/>
    <mergeCell ref="N81:O81"/>
    <mergeCell ref="P81:Q81"/>
    <mergeCell ref="C82:F82"/>
    <mergeCell ref="C83:F83"/>
    <mergeCell ref="C84:F84"/>
    <mergeCell ref="C85:F85"/>
    <mergeCell ref="C86:F86"/>
    <mergeCell ref="C87:F87"/>
    <mergeCell ref="C88:F88"/>
    <mergeCell ref="C89:F89"/>
    <mergeCell ref="C90:F90"/>
    <mergeCell ref="C92:G92"/>
    <mergeCell ref="H92:I92"/>
    <mergeCell ref="J92:K92"/>
    <mergeCell ref="L92:M92"/>
    <mergeCell ref="N92:O92"/>
    <mergeCell ref="P92:Q92"/>
    <mergeCell ref="U94:Z115"/>
    <mergeCell ref="H96:I96"/>
    <mergeCell ref="J96:K96"/>
    <mergeCell ref="L96:M96"/>
    <mergeCell ref="N96:O96"/>
    <mergeCell ref="P96:Q96"/>
    <mergeCell ref="C97:E97"/>
    <mergeCell ref="C98:E98"/>
    <mergeCell ref="C99:E99"/>
    <mergeCell ref="H101:I101"/>
    <mergeCell ref="J101:K101"/>
    <mergeCell ref="L101:M101"/>
    <mergeCell ref="N101:O101"/>
    <mergeCell ref="P101:Q101"/>
    <mergeCell ref="C102:E102"/>
    <mergeCell ref="C103:E103"/>
    <mergeCell ref="C104:E104"/>
    <mergeCell ref="C105:E105"/>
    <mergeCell ref="H107:I107"/>
    <mergeCell ref="J107:K107"/>
    <mergeCell ref="L107:M107"/>
    <mergeCell ref="N107:O107"/>
    <mergeCell ref="P107:Q107"/>
    <mergeCell ref="C108:F108"/>
    <mergeCell ref="C109:F109"/>
    <mergeCell ref="C110:F110"/>
    <mergeCell ref="C111:F111"/>
    <mergeCell ref="C113:G113"/>
    <mergeCell ref="H113:I113"/>
    <mergeCell ref="J113:K113"/>
    <mergeCell ref="L113:M113"/>
    <mergeCell ref="N113:O113"/>
    <mergeCell ref="P113:Q113"/>
    <mergeCell ref="C115:E115"/>
    <mergeCell ref="H115:I115"/>
    <mergeCell ref="J115:K115"/>
    <mergeCell ref="L115:M115"/>
    <mergeCell ref="N115:O115"/>
    <mergeCell ref="P115:Q115"/>
    <mergeCell ref="U116:Z126"/>
    <mergeCell ref="C119:F119"/>
    <mergeCell ref="C120:F120"/>
    <mergeCell ref="C121:F121"/>
    <mergeCell ref="C124:E124"/>
    <mergeCell ref="H124:I124"/>
    <mergeCell ref="J124:K124"/>
    <mergeCell ref="L124:M124"/>
    <mergeCell ref="N124:O124"/>
    <mergeCell ref="P124:Q124"/>
    <mergeCell ref="U127:Z133"/>
    <mergeCell ref="C128:F128"/>
    <mergeCell ref="H131:I131"/>
    <mergeCell ref="J131:K131"/>
    <mergeCell ref="L131:M131"/>
    <mergeCell ref="N131:O131"/>
    <mergeCell ref="P131:Q131"/>
    <mergeCell ref="U134:Z152"/>
    <mergeCell ref="G150:H150"/>
    <mergeCell ref="J150:K150"/>
    <mergeCell ref="U154:Z175"/>
  </mergeCells>
  <conditionalFormatting sqref="K98:K99">
    <cfRule type="cellIs" priority="2" operator="equal" aboveAverage="0" equalAverage="0" bottom="0" percent="0" rank="0" text="" dxfId="0">
      <formula>"*livslängd &lt; proj-tid"</formula>
    </cfRule>
  </conditionalFormatting>
  <conditionalFormatting sqref="O98:O99">
    <cfRule type="cellIs" priority="3" operator="equal" aboveAverage="0" equalAverage="0" bottom="0" percent="0" rank="0" text="" dxfId="1">
      <formula>"*livslängd &lt; proj-tid"</formula>
    </cfRule>
  </conditionalFormatting>
  <conditionalFormatting sqref="I98:I99">
    <cfRule type="cellIs" priority="4" operator="equal" aboveAverage="0" equalAverage="0" bottom="0" percent="0" rank="0" text="" dxfId="2">
      <formula>"*livslängd &lt; proj-tid"</formula>
    </cfRule>
  </conditionalFormatting>
  <conditionalFormatting sqref="M98:M99">
    <cfRule type="cellIs" priority="5" operator="equal" aboveAverage="0" equalAverage="0" bottom="0" percent="0" rank="0" text="" dxfId="3">
      <formula>"*livslängd &lt; proj-tid"</formula>
    </cfRule>
  </conditionalFormatting>
  <conditionalFormatting sqref="Q98:Q99">
    <cfRule type="cellIs" priority="6" operator="equal" aboveAverage="0" equalAverage="0" bottom="0" percent="0" rank="0" text="" dxfId="4">
      <formula>"*livslängd &lt; proj-tid"</formula>
    </cfRule>
  </conditionalFormatting>
  <dataValidations count="11">
    <dataValidation allowBlank="true" operator="between" prompt="Detta är ett fritextfält" promptTitle="Projektledare/-ansvarig" showDropDown="false" showErrorMessage="true" showInputMessage="true" sqref="D35:E35" type="none">
      <formula1>0</formula1>
      <formula2>0</formula2>
    </dataValidation>
    <dataValidation allowBlank="true" operator="between" showDropDown="false" showErrorMessage="true" showInputMessage="false" sqref="D29" type="custom">
      <formula1>2017</formula1>
      <formula2>0</formula2>
    </dataValidation>
    <dataValidation allowBlank="true" operator="between" showDropDown="false" showErrorMessage="true" showInputMessage="false" sqref="D30:D32 D34" type="list">
      <formula1>Uppstartsår</formula1>
      <formula2>0</formula2>
    </dataValidation>
    <dataValidation allowBlank="true" operator="between" prompt="Detta är ett fritextfält som man kan nyttja till att beskriva kort vad projektet är eller dess namn." promptTitle="Projektbeskrivning" showDropDown="false" showErrorMessage="true" showInputMessage="true" sqref="D37:E37" type="none">
      <formula1>0</formula1>
      <formula2>0</formula2>
    </dataValidation>
    <dataValidation allowBlank="true" operator="between" prompt="Välj om projektet är ett internt eller externt projekt.&#10;&#10;Universitetsförvaltningen behöver ej välja något här, då de anger detta redan i val av institutionskod." promptTitle="Internt eller Externt uppdrag" showDropDown="false" showErrorMessage="true" showInputMessage="true" sqref="D33" type="list">
      <formula1>"Internt,Statligt,Externt,Övr. utan moms"</formula1>
      <formula2>0</formula2>
    </dataValidation>
    <dataValidation allowBlank="true" operator="between" showDropDown="false" showErrorMessage="true" showInputMessage="true" sqref="F98:F99" type="list">
      <formula1>"1 år,2 år,3 år,4 år,5 år,6 år,7 år,8 år,9 år,10 år"</formula1>
      <formula2>0</formula2>
    </dataValidation>
    <dataValidation allowBlank="true" operator="between" prompt="Detta är ett fritextfält, men påverkar fliken för uppföljning" promptTitle="Projektnummer från UBW" showDropDown="false" showErrorMessage="true" showInputMessage="true" sqref="D36:E36" type="none">
      <formula1>0</formula1>
      <formula2>0</formula2>
    </dataValidation>
    <dataValidation allowBlank="true" operator="between" showDropDown="false" showErrorMessage="true" showInputMessage="false" sqref="G121" type="list">
      <formula1>UppräkningINDI</formula1>
      <formula2>0</formula2>
    </dataValidation>
    <dataValidation allowBlank="true" error="Ni måste välja en av de befintliga institutionskoderna i rullmenyn " errorTitle="Institutionskod från UBW/Agresso" operator="between" prompt="Välj den institutionskod som projektet genomförs på" promptTitle="Institutionskod från UBW/Agresso" showDropDown="false" showErrorMessage="true" showInputMessage="true" sqref="D28" type="list">
      <formula1>'INDI FO 2021'!$C$3:$C$29</formula1>
      <formula2>0</formula2>
    </dataValidation>
    <dataValidation allowBlank="true" operator="between" showDropDown="false" showErrorMessage="true" showInputMessage="true" sqref="G128:G130" type="list">
      <formula1>Tabeller!$C$1:$C$11</formula1>
      <formula2>0</formula2>
    </dataValidation>
    <dataValidation allowBlank="true" operator="between" showDropDown="false" showErrorMessage="true" showInputMessage="true" sqref="E30:E31" type="list">
      <formula1>Tabeller!$G$1:$G$12</formula1>
      <formula2>0</formula2>
    </dataValidation>
  </dataValidations>
  <hyperlinks>
    <hyperlink ref="U42" location="Uppdragsforskning!A165" display="Länk till stöd för beräkning av debiterbar månadsersättning"/>
    <hyperlink ref="G47" location="Uppdragsforskning!A165" display="Debiterbar månadsers. (kr)"/>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colBreaks count="1" manualBreakCount="1">
    <brk id="20" man="true" max="65535" min="0"/>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L79"/>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selection pane="topLeft" activeCell="I26" activeCellId="0" sqref="I26"/>
    </sheetView>
  </sheetViews>
  <sheetFormatPr defaultColWidth="8.73046875" defaultRowHeight="14.25" zeroHeight="false" outlineLevelRow="0" outlineLevelCol="0"/>
  <cols>
    <col collapsed="false" customWidth="true" hidden="false" outlineLevel="0" max="1" min="1" style="139" width="2"/>
    <col collapsed="false" customWidth="true" hidden="false" outlineLevel="0" max="2" min="2" style="139" width="2.38"/>
    <col collapsed="false" customWidth="true" hidden="false" outlineLevel="0" max="3" min="3" style="139" width="4.87"/>
    <col collapsed="false" customWidth="true" hidden="false" outlineLevel="0" max="4" min="4" style="139" width="22"/>
    <col collapsed="false" customWidth="true" hidden="false" outlineLevel="0" max="5" min="5" style="139" width="15.52"/>
    <col collapsed="false" customWidth="true" hidden="false" outlineLevel="0" max="6" min="6" style="139" width="6.13"/>
    <col collapsed="false" customWidth="true" hidden="false" outlineLevel="0" max="7" min="7" style="139" width="19"/>
    <col collapsed="false" customWidth="true" hidden="false" outlineLevel="0" max="8" min="8" style="139" width="17.12"/>
    <col collapsed="false" customWidth="true" hidden="false" outlineLevel="0" max="9" min="9" style="140" width="11.87"/>
    <col collapsed="false" customWidth="true" hidden="false" outlineLevel="0" max="10" min="10" style="139" width="10.87"/>
    <col collapsed="false" customWidth="true" hidden="false" outlineLevel="0" max="11" min="11" style="139" width="19.87"/>
    <col collapsed="false" customWidth="true" hidden="false" outlineLevel="0" max="12" min="12" style="140" width="2.25"/>
    <col collapsed="false" customWidth="false" hidden="false" outlineLevel="0" max="1024" min="13" style="139" width="8.74"/>
  </cols>
  <sheetData>
    <row r="1" customFormat="false" ht="26.25" hidden="false" customHeight="false" outlineLevel="0" collapsed="false">
      <c r="B1" s="8" t="s">
        <v>115</v>
      </c>
      <c r="C1" s="8"/>
      <c r="D1" s="8"/>
      <c r="E1" s="8"/>
      <c r="F1" s="8"/>
      <c r="G1" s="8"/>
      <c r="H1" s="8"/>
      <c r="I1" s="141"/>
      <c r="J1" s="8"/>
      <c r="K1" s="8"/>
      <c r="L1" s="141"/>
    </row>
    <row r="2" customFormat="false" ht="14.45" hidden="false" customHeight="true" outlineLevel="0" collapsed="false"/>
    <row r="3" customFormat="false" ht="14.45" hidden="false" customHeight="true" outlineLevel="0" collapsed="false">
      <c r="B3" s="142" t="s">
        <v>116</v>
      </c>
      <c r="C3" s="142"/>
      <c r="D3" s="142"/>
      <c r="E3" s="142"/>
      <c r="F3" s="142"/>
      <c r="G3" s="142"/>
      <c r="H3" s="142"/>
      <c r="I3" s="142"/>
      <c r="J3" s="142"/>
      <c r="K3" s="142"/>
      <c r="L3" s="142"/>
    </row>
    <row r="4" customFormat="false" ht="14.45" hidden="false" customHeight="true" outlineLevel="0" collapsed="false">
      <c r="B4" s="142"/>
      <c r="C4" s="142"/>
      <c r="D4" s="142"/>
      <c r="E4" s="142"/>
      <c r="F4" s="142"/>
      <c r="G4" s="142"/>
      <c r="H4" s="142"/>
      <c r="I4" s="142"/>
      <c r="J4" s="142"/>
      <c r="K4" s="142"/>
      <c r="L4" s="142"/>
    </row>
    <row r="5" customFormat="false" ht="14.45" hidden="false" customHeight="true" outlineLevel="0" collapsed="false">
      <c r="B5" s="142"/>
      <c r="C5" s="142"/>
      <c r="D5" s="142"/>
      <c r="E5" s="142"/>
      <c r="F5" s="142"/>
      <c r="G5" s="142"/>
      <c r="H5" s="142"/>
      <c r="I5" s="142"/>
      <c r="J5" s="142"/>
      <c r="K5" s="142"/>
      <c r="L5" s="142"/>
    </row>
    <row r="6" customFormat="false" ht="14.45" hidden="false" customHeight="true" outlineLevel="0" collapsed="false">
      <c r="B6" s="142"/>
      <c r="C6" s="142"/>
      <c r="D6" s="142"/>
      <c r="E6" s="142"/>
      <c r="F6" s="142"/>
      <c r="G6" s="142"/>
      <c r="H6" s="142"/>
      <c r="I6" s="142"/>
      <c r="J6" s="142"/>
      <c r="K6" s="142"/>
      <c r="L6" s="142"/>
    </row>
    <row r="7" customFormat="false" ht="14.45" hidden="false" customHeight="true" outlineLevel="0" collapsed="false">
      <c r="B7" s="142"/>
      <c r="C7" s="142"/>
      <c r="D7" s="142"/>
      <c r="E7" s="142"/>
      <c r="F7" s="142"/>
      <c r="G7" s="142"/>
      <c r="H7" s="142"/>
      <c r="I7" s="142"/>
      <c r="J7" s="142"/>
      <c r="K7" s="142"/>
      <c r="L7" s="142"/>
    </row>
    <row r="8" customFormat="false" ht="14.45" hidden="false" customHeight="true" outlineLevel="0" collapsed="false">
      <c r="B8" s="142"/>
      <c r="C8" s="142"/>
      <c r="D8" s="142"/>
      <c r="E8" s="142"/>
      <c r="F8" s="142"/>
      <c r="G8" s="142"/>
      <c r="H8" s="142"/>
      <c r="I8" s="142"/>
      <c r="J8" s="142"/>
      <c r="K8" s="142"/>
      <c r="L8" s="142"/>
    </row>
    <row r="9" customFormat="false" ht="14.45" hidden="false" customHeight="true" outlineLevel="0" collapsed="false">
      <c r="C9" s="11"/>
      <c r="D9" s="11"/>
      <c r="E9" s="11"/>
      <c r="F9" s="11"/>
      <c r="G9" s="11"/>
      <c r="H9" s="11"/>
      <c r="I9" s="143"/>
      <c r="J9" s="11"/>
      <c r="K9" s="11"/>
    </row>
    <row r="10" customFormat="false" ht="14.45" hidden="false" customHeight="true" outlineLevel="0" collapsed="false">
      <c r="B10" s="144"/>
      <c r="C10" s="145"/>
      <c r="D10" s="145"/>
      <c r="E10" s="145"/>
      <c r="F10" s="145"/>
      <c r="G10" s="145"/>
      <c r="H10" s="145"/>
      <c r="I10" s="146"/>
      <c r="J10" s="145"/>
      <c r="K10" s="145"/>
      <c r="L10" s="147"/>
    </row>
    <row r="11" customFormat="false" ht="14.25" hidden="false" customHeight="false" outlineLevel="0" collapsed="false">
      <c r="B11" s="148"/>
      <c r="C11" s="121" t="s">
        <v>117</v>
      </c>
      <c r="D11" s="121"/>
      <c r="E11" s="121"/>
      <c r="F11" s="121"/>
      <c r="G11" s="121"/>
      <c r="H11" s="121"/>
      <c r="I11" s="149"/>
      <c r="J11" s="121"/>
      <c r="K11" s="121"/>
      <c r="L11" s="150"/>
    </row>
    <row r="12" customFormat="false" ht="14.25" hidden="false" customHeight="false" outlineLevel="0" collapsed="false">
      <c r="B12" s="148"/>
      <c r="C12" s="110"/>
      <c r="L12" s="150"/>
    </row>
    <row r="13" customFormat="false" ht="14.25" hidden="false" customHeight="false" outlineLevel="0" collapsed="false">
      <c r="B13" s="148"/>
      <c r="C13" s="110" t="s">
        <v>118</v>
      </c>
      <c r="D13" s="110" t="s">
        <v>119</v>
      </c>
      <c r="E13" s="151" t="s">
        <v>120</v>
      </c>
      <c r="F13" s="152" t="s">
        <v>121</v>
      </c>
      <c r="G13" s="152" t="s">
        <v>122</v>
      </c>
      <c r="H13" s="153" t="s">
        <v>123</v>
      </c>
      <c r="I13" s="153" t="s">
        <v>124</v>
      </c>
      <c r="J13" s="154" t="s">
        <v>125</v>
      </c>
      <c r="K13" s="153" t="s">
        <v>126</v>
      </c>
      <c r="L13" s="150"/>
    </row>
    <row r="14" customFormat="false" ht="14.25" hidden="false" customHeight="false" outlineLevel="0" collapsed="false">
      <c r="B14" s="148"/>
      <c r="C14" s="6" t="n">
        <v>11</v>
      </c>
      <c r="D14" s="6" t="s">
        <v>127</v>
      </c>
      <c r="E14" s="155" t="n">
        <v>3313</v>
      </c>
      <c r="F14" s="156" t="str">
        <f aca="false">IF(Uppdragsforskning!$D$28="","",LEFT(Uppdragsforskning!$D$28,2))</f>
        <v/>
      </c>
      <c r="G14" s="156" t="str">
        <f aca="false">IF(Uppdragsforskning!$D$36="","Ange projektnummer",Uppdragsforskning!$D$36)</f>
        <v>Ange projektnummer</v>
      </c>
      <c r="H14" s="157" t="str">
        <f aca="false">IF(OR(Uppdragsforskning!$D$30="",Uppdragsforskning!$E$30=""),"Ange start år/månad",Uppdragsforskning!$D$30&amp;Uppdragsforskning!$E$30)</f>
        <v>Ange start år/månad</v>
      </c>
      <c r="I14" s="157" t="str">
        <f aca="false">IF(OR(Uppdragsforskning!$D$31="",Uppdragsforskning!$E$31=""),"Ange slut år/månad",Uppdragsforskning!$D$31&amp;Uppdragsforskning!$E$31)</f>
        <v>Ange slut år/månad</v>
      </c>
      <c r="J14" s="158" t="n">
        <f aca="false">J26+J34+J42+J50+J58</f>
        <v>0</v>
      </c>
      <c r="K14" s="157" t="str">
        <f aca="false">"Budget totalt "&amp;Uppdragsforskning!$D$36&amp;""</f>
        <v>Budget totalt</v>
      </c>
      <c r="L14" s="150"/>
    </row>
    <row r="15" customFormat="false" ht="14.25" hidden="false" customHeight="false" outlineLevel="0" collapsed="false">
      <c r="B15" s="148"/>
      <c r="C15" s="6" t="n">
        <v>21</v>
      </c>
      <c r="D15" s="6" t="s">
        <v>25</v>
      </c>
      <c r="E15" s="155" t="n">
        <v>4011</v>
      </c>
      <c r="F15" s="156" t="str">
        <f aca="false">IF(Uppdragsforskning!$D$28="","",LEFT(Uppdragsforskning!$D$28,2))</f>
        <v/>
      </c>
      <c r="G15" s="156" t="str">
        <f aca="false">IF(Uppdragsforskning!$D$36="","Ange projektnummer",Uppdragsforskning!$D$36)</f>
        <v>Ange projektnummer</v>
      </c>
      <c r="H15" s="157" t="str">
        <f aca="false">IF(OR(Uppdragsforskning!$D$30="",Uppdragsforskning!$E$30=""),"Ange start år/månad",Uppdragsforskning!$D$30&amp;Uppdragsforskning!$E$30)</f>
        <v>Ange start år/månad</v>
      </c>
      <c r="I15" s="157" t="str">
        <f aca="false">IF(OR(Uppdragsforskning!$D$31="",Uppdragsforskning!$E$31=""),"Ange slut år/månad",Uppdragsforskning!$D$31&amp;Uppdragsforskning!$E$31)</f>
        <v>Ange slut år/månad</v>
      </c>
      <c r="J15" s="158" t="n">
        <f aca="false">J27+J35+J43+J51+J59</f>
        <v>0</v>
      </c>
      <c r="K15" s="157" t="str">
        <f aca="false">"Budget totalt "&amp;Uppdragsforskning!$D$36&amp;""</f>
        <v>Budget totalt</v>
      </c>
      <c r="L15" s="150"/>
    </row>
    <row r="16" customFormat="false" ht="14.25" hidden="false" customHeight="false" outlineLevel="0" collapsed="false">
      <c r="B16" s="148"/>
      <c r="C16" s="6" t="n">
        <v>211</v>
      </c>
      <c r="D16" s="6" t="s">
        <v>128</v>
      </c>
      <c r="E16" s="155" t="n">
        <v>49988</v>
      </c>
      <c r="F16" s="156" t="str">
        <f aca="false">IF(Uppdragsforskning!$D$28="","",LEFT(Uppdragsforskning!$D$28,2))</f>
        <v/>
      </c>
      <c r="G16" s="156" t="str">
        <f aca="false">IF(Uppdragsforskning!$D$36="","Ange projektnummer",Uppdragsforskning!$D$36)</f>
        <v>Ange projektnummer</v>
      </c>
      <c r="H16" s="157" t="str">
        <f aca="false">IF(OR(Uppdragsforskning!$D$30="",Uppdragsforskning!$E$30=""),"Ange start år/månad",Uppdragsforskning!$D$30&amp;Uppdragsforskning!$E$30)</f>
        <v>Ange start år/månad</v>
      </c>
      <c r="I16" s="157" t="str">
        <f aca="false">IF(OR(Uppdragsforskning!$D$31="",Uppdragsforskning!$E$31=""),"Ange slut år/månad",Uppdragsforskning!$D$31&amp;Uppdragsforskning!$E$31)</f>
        <v>Ange slut år/månad</v>
      </c>
      <c r="J16" s="158" t="n">
        <f aca="false">J28+J36+J44+J52+J60</f>
        <v>0</v>
      </c>
      <c r="K16" s="157" t="str">
        <f aca="false">"Budget totalt "&amp;Uppdragsforskning!$D$36&amp;""</f>
        <v>Budget totalt</v>
      </c>
      <c r="L16" s="150"/>
    </row>
    <row r="17" customFormat="false" ht="14.25" hidden="false" customHeight="false" outlineLevel="0" collapsed="false">
      <c r="B17" s="148"/>
      <c r="C17" s="6" t="n">
        <v>22</v>
      </c>
      <c r="D17" s="6" t="s">
        <v>129</v>
      </c>
      <c r="E17" s="155" t="n">
        <v>50111</v>
      </c>
      <c r="F17" s="156" t="str">
        <f aca="false">IF(Uppdragsforskning!$D$28="","",LEFT(Uppdragsforskning!$D$28,2))</f>
        <v/>
      </c>
      <c r="G17" s="156" t="str">
        <f aca="false">IF(Uppdragsforskning!$D$36="","Ange projektnummer",Uppdragsforskning!$D$36)</f>
        <v>Ange projektnummer</v>
      </c>
      <c r="H17" s="157" t="str">
        <f aca="false">IF(OR(Uppdragsforskning!$D$30="",Uppdragsforskning!$E$30=""),"Ange start år/månad",Uppdragsforskning!$D$30&amp;Uppdragsforskning!$E$30)</f>
        <v>Ange start år/månad</v>
      </c>
      <c r="I17" s="157" t="str">
        <f aca="false">IF(OR(Uppdragsforskning!$D$31="",Uppdragsforskning!$E$31=""),"Ange slut år/månad",Uppdragsforskning!$D$31&amp;Uppdragsforskning!$E$31)</f>
        <v>Ange slut år/månad</v>
      </c>
      <c r="J17" s="158" t="n">
        <f aca="false">J29+J37+J45+J53+J61</f>
        <v>0</v>
      </c>
      <c r="K17" s="157" t="str">
        <f aca="false">"Budget totalt "&amp;Uppdragsforskning!$D$36&amp;""</f>
        <v>Budget totalt</v>
      </c>
      <c r="L17" s="150"/>
    </row>
    <row r="18" customFormat="false" ht="14.25" hidden="false" customHeight="false" outlineLevel="0" collapsed="false">
      <c r="B18" s="148"/>
      <c r="C18" s="6" t="n">
        <v>23</v>
      </c>
      <c r="D18" s="6" t="s">
        <v>130</v>
      </c>
      <c r="E18" s="155" t="n">
        <v>5522</v>
      </c>
      <c r="F18" s="156" t="str">
        <f aca="false">IF(Uppdragsforskning!$D$28="","",LEFT(Uppdragsforskning!$D$28,2))</f>
        <v/>
      </c>
      <c r="G18" s="156" t="str">
        <f aca="false">IF(Uppdragsforskning!$D$36="","Ange projektnummer",Uppdragsforskning!$D$36)</f>
        <v>Ange projektnummer</v>
      </c>
      <c r="H18" s="157" t="str">
        <f aca="false">IF(OR(Uppdragsforskning!$D$30="",Uppdragsforskning!$E$30=""),"Ange start år/månad",Uppdragsforskning!$D$30&amp;Uppdragsforskning!$E$30)</f>
        <v>Ange start år/månad</v>
      </c>
      <c r="I18" s="157" t="str">
        <f aca="false">IF(OR(Uppdragsforskning!$D$31="",Uppdragsforskning!$E$31=""),"Ange slut år/månad",Uppdragsforskning!$D$31&amp;Uppdragsforskning!$E$31)</f>
        <v>Ange slut år/månad</v>
      </c>
      <c r="J18" s="158" t="n">
        <f aca="false">Uppdragsforskning!H78+Uppdragsforskning!J78+Uppdragsforskning!L78+Uppdragsforskning!N78+Uppdragsforskning!P78</f>
        <v>0</v>
      </c>
      <c r="K18" s="157" t="str">
        <f aca="false">"Budget totalt "&amp;Uppdragsforskning!$D$36&amp;""</f>
        <v>Budget totalt</v>
      </c>
      <c r="L18" s="150"/>
    </row>
    <row r="19" customFormat="false" ht="14.25" hidden="false" customHeight="false" outlineLevel="0" collapsed="false">
      <c r="B19" s="148"/>
      <c r="C19" s="6" t="n">
        <v>23</v>
      </c>
      <c r="D19" s="6" t="s">
        <v>131</v>
      </c>
      <c r="E19" s="155" t="n">
        <v>5797</v>
      </c>
      <c r="F19" s="156" t="str">
        <f aca="false">IF(Uppdragsforskning!$D$28="","",LEFT(Uppdragsforskning!$D$28,2))</f>
        <v/>
      </c>
      <c r="G19" s="156" t="str">
        <f aca="false">IF(Uppdragsforskning!$D$36="","Ange projektnummer",Uppdragsforskning!$D$36)</f>
        <v>Ange projektnummer</v>
      </c>
      <c r="H19" s="157" t="str">
        <f aca="false">IF(OR(Uppdragsforskning!$D$30="",Uppdragsforskning!$E$30=""),"Ange start år/månad",Uppdragsforskning!$D$30&amp;Uppdragsforskning!$E$30)</f>
        <v>Ange start år/månad</v>
      </c>
      <c r="I19" s="157" t="str">
        <f aca="false">IF(OR(Uppdragsforskning!$D$31="",Uppdragsforskning!$E$31=""),"Ange slut år/månad",Uppdragsforskning!$D$31&amp;Uppdragsforskning!$E$31)</f>
        <v>Ange slut år/månad</v>
      </c>
      <c r="J19" s="158" t="n">
        <f aca="false">J31+J39+J47+J55+J63</f>
        <v>0</v>
      </c>
      <c r="K19" s="157" t="str">
        <f aca="false">"Budget totalt "&amp;Uppdragsforskning!$D$36&amp;""</f>
        <v>Budget totalt</v>
      </c>
      <c r="L19" s="150"/>
    </row>
    <row r="20" customFormat="false" ht="14.25" hidden="false" customHeight="false" outlineLevel="0" collapsed="false">
      <c r="B20" s="148"/>
      <c r="C20" s="6" t="n">
        <v>23</v>
      </c>
      <c r="D20" s="6" t="s">
        <v>132</v>
      </c>
      <c r="E20" s="155" t="n">
        <v>57849</v>
      </c>
      <c r="F20" s="156" t="str">
        <f aca="false">IF(Uppdragsforskning!$D$28="","",LEFT(Uppdragsforskning!$D$28,2))</f>
        <v/>
      </c>
      <c r="G20" s="156" t="str">
        <f aca="false">IF(Uppdragsforskning!$D$36="","Ange projektnummer",Uppdragsforskning!$D$36)</f>
        <v>Ange projektnummer</v>
      </c>
      <c r="H20" s="157" t="str">
        <f aca="false">IF(OR(Uppdragsforskning!$D$30="",Uppdragsforskning!$E$30=""),"Ange start år/månad",Uppdragsforskning!$D$30&amp;Uppdragsforskning!$E$30)</f>
        <v>Ange start år/månad</v>
      </c>
      <c r="I20" s="157" t="str">
        <f aca="false">IF(OR(Uppdragsforskning!$D$31="",Uppdragsforskning!$E$31=""),"Ange slut år/månad",Uppdragsforskning!$D$31&amp;Uppdragsforskning!$E$31)</f>
        <v>Ange slut år/månad</v>
      </c>
      <c r="J20" s="158" t="n">
        <f aca="false">J32+J40+J48+J56+J64</f>
        <v>0</v>
      </c>
      <c r="K20" s="157" t="str">
        <f aca="false">"Budget totalt "&amp;Uppdragsforskning!$D$36&amp;""</f>
        <v>Budget totalt</v>
      </c>
      <c r="L20" s="150"/>
    </row>
    <row r="21" customFormat="false" ht="14.25" hidden="false" customHeight="false" outlineLevel="0" collapsed="false">
      <c r="B21" s="148"/>
      <c r="C21" s="6" t="n">
        <v>24</v>
      </c>
      <c r="D21" s="6" t="s">
        <v>133</v>
      </c>
      <c r="E21" s="159" t="n">
        <v>6911</v>
      </c>
      <c r="F21" s="160" t="str">
        <f aca="false">IF(Uppdragsforskning!$D$28="","",LEFT(Uppdragsforskning!$D$28,2))</f>
        <v/>
      </c>
      <c r="G21" s="156" t="str">
        <f aca="false">IF(Uppdragsforskning!$D$36="","Ange projektnummer",Uppdragsforskning!$D$36)</f>
        <v>Ange projektnummer</v>
      </c>
      <c r="H21" s="157" t="str">
        <f aca="false">IF(OR(Uppdragsforskning!$D$30="",Uppdragsforskning!$E$30=""),"Ange start år/månad",Uppdragsforskning!$D$30&amp;Uppdragsforskning!$E$30)</f>
        <v>Ange start år/månad</v>
      </c>
      <c r="I21" s="157" t="str">
        <f aca="false">IF(OR(Uppdragsforskning!$D$31="",Uppdragsforskning!$E$31=""),"Ange slut år/månad",Uppdragsforskning!$D$31&amp;Uppdragsforskning!$E$31)</f>
        <v>Ange slut år/månad</v>
      </c>
      <c r="J21" s="161" t="n">
        <f aca="false">J33+J41+J49+J57+J65</f>
        <v>0</v>
      </c>
      <c r="K21" s="162" t="str">
        <f aca="false">"Budget totalt "&amp;Uppdragsforskning!$D$36&amp;""</f>
        <v>Budget totalt</v>
      </c>
      <c r="L21" s="150"/>
    </row>
    <row r="22" s="139" customFormat="true" ht="14.25" hidden="false" customHeight="false" outlineLevel="0" collapsed="false">
      <c r="B22" s="148"/>
      <c r="C22" s="6"/>
      <c r="D22" s="6"/>
      <c r="J22" s="163"/>
      <c r="L22" s="150"/>
    </row>
    <row r="23" customFormat="false" ht="14.25" hidden="false" customHeight="false" outlineLevel="0" collapsed="false">
      <c r="B23" s="148"/>
      <c r="C23" s="121" t="s">
        <v>134</v>
      </c>
      <c r="D23" s="121"/>
      <c r="E23" s="121"/>
      <c r="F23" s="121"/>
      <c r="G23" s="121"/>
      <c r="H23" s="121"/>
      <c r="I23" s="121"/>
      <c r="J23" s="121"/>
      <c r="K23" s="121"/>
      <c r="L23" s="150"/>
    </row>
    <row r="24" s="139" customFormat="true" ht="14.25" hidden="false" customHeight="false" outlineLevel="0" collapsed="false">
      <c r="B24" s="148"/>
      <c r="C24" s="110"/>
      <c r="D24" s="6"/>
      <c r="L24" s="150"/>
    </row>
    <row r="25" customFormat="false" ht="14.25" hidden="false" customHeight="false" outlineLevel="0" collapsed="false">
      <c r="B25" s="148"/>
      <c r="C25" s="110" t="s">
        <v>118</v>
      </c>
      <c r="D25" s="110" t="s">
        <v>119</v>
      </c>
      <c r="E25" s="151" t="s">
        <v>120</v>
      </c>
      <c r="F25" s="152" t="s">
        <v>121</v>
      </c>
      <c r="G25" s="152" t="s">
        <v>122</v>
      </c>
      <c r="H25" s="153" t="s">
        <v>123</v>
      </c>
      <c r="I25" s="153" t="s">
        <v>124</v>
      </c>
      <c r="J25" s="154" t="s">
        <v>125</v>
      </c>
      <c r="K25" s="153" t="s">
        <v>126</v>
      </c>
      <c r="L25" s="150"/>
    </row>
    <row r="26" customFormat="false" ht="14.25" hidden="false" customHeight="false" outlineLevel="0" collapsed="false">
      <c r="B26" s="148"/>
      <c r="C26" s="6" t="n">
        <v>11</v>
      </c>
      <c r="D26" s="6" t="s">
        <v>135</v>
      </c>
      <c r="E26" s="155" t="n">
        <v>3313</v>
      </c>
      <c r="F26" s="156" t="str">
        <f aca="false">IF(Uppdragsforskning!$D$28="","",LEFT(Uppdragsforskning!$D$28,2))</f>
        <v/>
      </c>
      <c r="G26" s="156" t="str">
        <f aca="false">IF(Uppdragsforskning!$D$36="","Ange projektnummer",Uppdragsforskning!$D$36)</f>
        <v>Ange projektnummer</v>
      </c>
      <c r="H26" s="157" t="str">
        <f aca="false">RIGHT(K26,4)&amp;Uppdragsforskning!$E$30</f>
        <v>et</v>
      </c>
      <c r="I26" s="157" t="e">
        <f aca="false">IF(_xlfn.NUMBERVALUE(RIGHT(K26,4))=Uppdragsforskning!$D$31,RIGHT(K26,4)&amp;Uppdragsforskning!$E$31,RIGHT(K26,4)&amp;"12")</f>
        <v>#VALUE!</v>
      </c>
      <c r="J26" s="164" t="n">
        <f aca="false">SUM(Uppdragsforskning!H131:I131)*-1</f>
        <v>0</v>
      </c>
      <c r="K26" s="157" t="str">
        <f aca="false">"Budget "&amp;Uppdragsforskning!$D$36&amp;" "&amp;Uppdragsforskning!H$43</f>
        <v>Budget</v>
      </c>
      <c r="L26" s="150"/>
    </row>
    <row r="27" customFormat="false" ht="14.25" hidden="false" customHeight="false" outlineLevel="0" collapsed="false">
      <c r="B27" s="148"/>
      <c r="C27" s="6" t="n">
        <v>21</v>
      </c>
      <c r="D27" s="6" t="s">
        <v>25</v>
      </c>
      <c r="E27" s="155" t="n">
        <v>4011</v>
      </c>
      <c r="F27" s="156" t="str">
        <f aca="false">IF(Uppdragsforskning!$D$28="","",LEFT(Uppdragsforskning!$D$28,2))</f>
        <v/>
      </c>
      <c r="G27" s="156" t="str">
        <f aca="false">IF(Uppdragsforskning!$D$36="","Ange projektnummer",Uppdragsforskning!$D$36)</f>
        <v>Ange projektnummer</v>
      </c>
      <c r="H27" s="157" t="str">
        <f aca="false">RIGHT(K27,4)&amp;Uppdragsforskning!$E$30</f>
        <v>et</v>
      </c>
      <c r="I27" s="157" t="e">
        <f aca="false">IF(_xlfn.NUMBERVALUE(RIGHT(K27,4))=Uppdragsforskning!$D$31,RIGHT(K27,4)&amp;Uppdragsforskning!$E$31,RIGHT(K27,4)&amp;"12")</f>
        <v>#VALUE!</v>
      </c>
      <c r="J27" s="164" t="n">
        <f aca="false">SUM(Uppdragsforskning!H65:I65)</f>
        <v>0</v>
      </c>
      <c r="K27" s="157" t="str">
        <f aca="false">"Budget "&amp;Uppdragsforskning!$D$36&amp;" "&amp;Uppdragsforskning!H$43</f>
        <v>Budget</v>
      </c>
      <c r="L27" s="150"/>
    </row>
    <row r="28" customFormat="false" ht="14.25" hidden="false" customHeight="false" outlineLevel="0" collapsed="false">
      <c r="B28" s="148"/>
      <c r="C28" s="6" t="n">
        <v>211</v>
      </c>
      <c r="D28" s="6" t="s">
        <v>128</v>
      </c>
      <c r="E28" s="155" t="n">
        <v>49988</v>
      </c>
      <c r="F28" s="156" t="str">
        <f aca="false">IF(Uppdragsforskning!$D$28="","",LEFT(Uppdragsforskning!$D$28,2))</f>
        <v/>
      </c>
      <c r="G28" s="156" t="str">
        <f aca="false">IF(Uppdragsforskning!$D$36="","Ange projektnummer",Uppdragsforskning!$D$36)</f>
        <v>Ange projektnummer</v>
      </c>
      <c r="H28" s="157" t="str">
        <f aca="false">RIGHT(K28,4)&amp;Uppdragsforskning!$E$30</f>
        <v>et</v>
      </c>
      <c r="I28" s="157" t="e">
        <f aca="false">IF(_xlfn.NUMBERVALUE(RIGHT(K28,4))=Uppdragsforskning!$D$31,RIGHT(K28,4)&amp;Uppdragsforskning!$E$31,RIGHT(K28,4)&amp;"12")</f>
        <v>#VALUE!</v>
      </c>
      <c r="J28" s="164" t="n">
        <f aca="false">SUM(Uppdragsforskning!H124:I124)</f>
        <v>0</v>
      </c>
      <c r="K28" s="157" t="str">
        <f aca="false">"Budget "&amp;Uppdragsforskning!$D$36&amp;" "&amp;Uppdragsforskning!H$43</f>
        <v>Budget</v>
      </c>
      <c r="L28" s="150"/>
    </row>
    <row r="29" customFormat="false" ht="14.25" hidden="false" customHeight="false" outlineLevel="0" collapsed="false">
      <c r="B29" s="148"/>
      <c r="C29" s="6" t="n">
        <v>22</v>
      </c>
      <c r="D29" s="6" t="s">
        <v>129</v>
      </c>
      <c r="E29" s="155" t="n">
        <v>50111</v>
      </c>
      <c r="F29" s="156" t="str">
        <f aca="false">IF(Uppdragsforskning!$D$28="","",LEFT(Uppdragsforskning!$D$28,2))</f>
        <v/>
      </c>
      <c r="G29" s="156" t="str">
        <f aca="false">IF(Uppdragsforskning!$D$36="","Ange projektnummer",Uppdragsforskning!$D$36)</f>
        <v>Ange projektnummer</v>
      </c>
      <c r="H29" s="157" t="str">
        <f aca="false">RIGHT(K29,4)&amp;Uppdragsforskning!$E$30</f>
        <v>et</v>
      </c>
      <c r="I29" s="157" t="e">
        <f aca="false">IF(_xlfn.NUMBERVALUE(RIGHT(K29,4))=Uppdragsforskning!$D$31,RIGHT(K29,4)&amp;Uppdragsforskning!$E$31,RIGHT(K29,4)&amp;"12")</f>
        <v>#VALUE!</v>
      </c>
      <c r="J29" s="164" t="n">
        <f aca="false">SUM(Uppdragsforskning!I$103:I105)</f>
        <v>0</v>
      </c>
      <c r="K29" s="157" t="str">
        <f aca="false">"Budget "&amp;Uppdragsforskning!$D$36&amp;" "&amp;Uppdragsforskning!H$43</f>
        <v>Budget</v>
      </c>
      <c r="L29" s="150"/>
    </row>
    <row r="30" customFormat="false" ht="14.25" hidden="false" customHeight="false" outlineLevel="0" collapsed="false">
      <c r="B30" s="148"/>
      <c r="C30" s="6" t="n">
        <v>23</v>
      </c>
      <c r="D30" s="6" t="s">
        <v>130</v>
      </c>
      <c r="E30" s="155" t="n">
        <v>5522</v>
      </c>
      <c r="F30" s="156" t="str">
        <f aca="false">IF(Uppdragsforskning!$D$28="","",LEFT(Uppdragsforskning!$D$28,2))</f>
        <v/>
      </c>
      <c r="G30" s="156" t="str">
        <f aca="false">IF(Uppdragsforskning!$D$36="","Ange projektnummer",Uppdragsforskning!$D$36)</f>
        <v>Ange projektnummer</v>
      </c>
      <c r="H30" s="157" t="str">
        <f aca="false">RIGHT(K30,4)&amp;Uppdragsforskning!$E$30</f>
        <v>et</v>
      </c>
      <c r="I30" s="157" t="e">
        <f aca="false">IF(_xlfn.NUMBERVALUE(RIGHT(K30,4))=Uppdragsforskning!$D$31,RIGHT(K30,4)&amp;Uppdragsforskning!$E$31,RIGHT(K30,4)&amp;"12")</f>
        <v>#VALUE!</v>
      </c>
      <c r="J30" s="164" t="n">
        <f aca="false">SUM(Uppdragsforskning!I$74:I76)</f>
        <v>0</v>
      </c>
      <c r="K30" s="157" t="str">
        <f aca="false">"Budget "&amp;Uppdragsforskning!$D$36&amp;" "&amp;Uppdragsforskning!H$43</f>
        <v>Budget</v>
      </c>
      <c r="L30" s="150"/>
    </row>
    <row r="31" customFormat="false" ht="14.25" hidden="false" customHeight="false" outlineLevel="0" collapsed="false">
      <c r="B31" s="148"/>
      <c r="C31" s="6" t="n">
        <v>23</v>
      </c>
      <c r="D31" s="6" t="s">
        <v>131</v>
      </c>
      <c r="E31" s="155" t="n">
        <v>5797</v>
      </c>
      <c r="F31" s="156" t="str">
        <f aca="false">IF(Uppdragsforskning!$D$28="","",LEFT(Uppdragsforskning!$D$28,2))</f>
        <v/>
      </c>
      <c r="G31" s="156" t="str">
        <f aca="false">IF(Uppdragsforskning!$D$36="","Ange projektnummer",Uppdragsforskning!$D$36)</f>
        <v>Ange projektnummer</v>
      </c>
      <c r="H31" s="157" t="str">
        <f aca="false">RIGHT(K31,4)&amp;Uppdragsforskning!$E$30</f>
        <v>et</v>
      </c>
      <c r="I31" s="157" t="e">
        <f aca="false">IF(_xlfn.NUMBERVALUE(RIGHT(K31,4))=Uppdragsforskning!$D$31,RIGHT(K31,4)&amp;Uppdragsforskning!$E$31,RIGHT(K31,4)&amp;"12")</f>
        <v>#VALUE!</v>
      </c>
      <c r="J31" s="164" t="n">
        <f aca="false">SUM(Uppdragsforskning!H92:I92)</f>
        <v>0</v>
      </c>
      <c r="K31" s="157" t="str">
        <f aca="false">"Budget "&amp;Uppdragsforskning!$D$36&amp;" "&amp;Uppdragsforskning!H$43</f>
        <v>Budget</v>
      </c>
      <c r="L31" s="150"/>
    </row>
    <row r="32" customFormat="false" ht="14.25" hidden="false" customHeight="false" outlineLevel="0" collapsed="false">
      <c r="B32" s="148"/>
      <c r="C32" s="6" t="n">
        <v>23</v>
      </c>
      <c r="D32" s="6" t="s">
        <v>132</v>
      </c>
      <c r="E32" s="155" t="n">
        <v>57849</v>
      </c>
      <c r="F32" s="156" t="str">
        <f aca="false">IF(Uppdragsforskning!$D$28="","",LEFT(Uppdragsforskning!$D$28,2))</f>
        <v/>
      </c>
      <c r="G32" s="156" t="str">
        <f aca="false">IF(Uppdragsforskning!$D$36="","Ange projektnummer",Uppdragsforskning!$D$36)</f>
        <v>Ange projektnummer</v>
      </c>
      <c r="H32" s="157" t="str">
        <f aca="false">RIGHT(K32,4)&amp;Uppdragsforskning!$E$30</f>
        <v>et</v>
      </c>
      <c r="I32" s="157" t="e">
        <f aca="false">IF(_xlfn.NUMBERVALUE(RIGHT(K32,4))=Uppdragsforskning!$D$31,RIGHT(K32,4)&amp;Uppdragsforskning!$E$31,RIGHT(K32,4)&amp;"12")</f>
        <v>#VALUE!</v>
      </c>
      <c r="J32" s="164" t="n">
        <f aca="false">SUM(Uppdragsforskning!I$109:I111)</f>
        <v>0</v>
      </c>
      <c r="K32" s="157" t="str">
        <f aca="false">"Budget "&amp;Uppdragsforskning!$D$36&amp;" "&amp;Uppdragsforskning!H$43</f>
        <v>Budget</v>
      </c>
      <c r="L32" s="150"/>
    </row>
    <row r="33" customFormat="false" ht="14.25" hidden="false" customHeight="false" outlineLevel="0" collapsed="false">
      <c r="B33" s="148"/>
      <c r="C33" s="6" t="n">
        <v>24</v>
      </c>
      <c r="D33" s="6" t="s">
        <v>133</v>
      </c>
      <c r="E33" s="159" t="n">
        <v>6911</v>
      </c>
      <c r="F33" s="156" t="str">
        <f aca="false">IF(Uppdragsforskning!$D$28="","",LEFT(Uppdragsforskning!$D$28,2))</f>
        <v/>
      </c>
      <c r="G33" s="156" t="str">
        <f aca="false">IF(Uppdragsforskning!$D$36="","Ange projektnummer",Uppdragsforskning!$D$36)</f>
        <v>Ange projektnummer</v>
      </c>
      <c r="H33" s="157" t="str">
        <f aca="false">RIGHT(K33,4)&amp;Uppdragsforskning!$E$30</f>
        <v>et</v>
      </c>
      <c r="I33" s="157" t="e">
        <f aca="false">IF(_xlfn.NUMBERVALUE(RIGHT(K33,4))=Uppdragsforskning!$D$31,RIGHT(K33,4)&amp;Uppdragsforskning!$E$31,RIGHT(K33,4)&amp;"12")</f>
        <v>#VALUE!</v>
      </c>
      <c r="J33" s="164" t="n">
        <f aca="false">SUM(Uppdragsforskning!I$98:I99)</f>
        <v>0</v>
      </c>
      <c r="K33" s="157" t="str">
        <f aca="false">"Budget "&amp;Uppdragsforskning!$D$36&amp;" "&amp;Uppdragsforskning!H$43</f>
        <v>Budget</v>
      </c>
      <c r="L33" s="150"/>
    </row>
    <row r="34" customFormat="false" ht="14.25" hidden="false" customHeight="false" outlineLevel="0" collapsed="false">
      <c r="B34" s="148"/>
      <c r="C34" s="6" t="n">
        <v>11</v>
      </c>
      <c r="D34" s="6" t="s">
        <v>135</v>
      </c>
      <c r="E34" s="155" t="n">
        <v>3313</v>
      </c>
      <c r="F34" s="156" t="str">
        <f aca="false">IF(Uppdragsforskning!$D$28="","",LEFT(Uppdragsforskning!$D$28,2))</f>
        <v/>
      </c>
      <c r="G34" s="165" t="n">
        <f aca="false">Uppdragsforskning!$D$36</f>
        <v>0</v>
      </c>
      <c r="H34" s="166" t="str">
        <f aca="false">RIGHT(K34,4)&amp;"01"</f>
        <v>01</v>
      </c>
      <c r="I34" s="165" t="e">
        <f aca="false">IF(_xlfn.NUMBERVALUE(RIGHT(K34,4))=Uppdragsforskning!$D$31,RIGHT(K34,4)&amp;Uppdragsforskning!$E$31,RIGHT(K34,4)&amp;"12")</f>
        <v>#VALUE!</v>
      </c>
      <c r="J34" s="167" t="n">
        <f aca="false">SUM(Uppdragsforskning!J131:K131)*-1</f>
        <v>0</v>
      </c>
      <c r="K34" s="168" t="str">
        <f aca="false">IF(Uppdragsforskning!$D$36="","",IF(Uppdragsforskning!$D$31&lt;Uppdragsforskning!$D$30+1,"","Budget "&amp;Uppdragsforskning!$D$36&amp;" "&amp;Uppdragsforskning!J$43))</f>
        <v/>
      </c>
      <c r="L34" s="150"/>
    </row>
    <row r="35" customFormat="false" ht="14.25" hidden="false" customHeight="false" outlineLevel="0" collapsed="false">
      <c r="B35" s="148"/>
      <c r="C35" s="6" t="n">
        <v>21</v>
      </c>
      <c r="D35" s="6" t="s">
        <v>25</v>
      </c>
      <c r="E35" s="155" t="n">
        <v>4011</v>
      </c>
      <c r="F35" s="156" t="str">
        <f aca="false">IF(Uppdragsforskning!$D$28="","",LEFT(Uppdragsforskning!$D$28,2))</f>
        <v/>
      </c>
      <c r="G35" s="165" t="n">
        <f aca="false">Uppdragsforskning!$D$36</f>
        <v>0</v>
      </c>
      <c r="H35" s="166" t="str">
        <f aca="false">RIGHT(K35,4)&amp;"01"</f>
        <v>01</v>
      </c>
      <c r="I35" s="165" t="e">
        <f aca="false">IF(_xlfn.NUMBERVALUE(RIGHT(K35,4))=Uppdragsforskning!$D$31,RIGHT(K35,4)&amp;Uppdragsforskning!$E$31,RIGHT(K35,4)&amp;"12")</f>
        <v>#VALUE!</v>
      </c>
      <c r="J35" s="167" t="n">
        <f aca="false">SUM(Uppdragsforskning!J65:K65)</f>
        <v>0</v>
      </c>
      <c r="K35" s="168" t="str">
        <f aca="false">IF(Uppdragsforskning!$D$36="","",IF(Uppdragsforskning!$D$31&lt;Uppdragsforskning!$D$30+1,"","Budget "&amp;Uppdragsforskning!$D$36&amp;" "&amp;Uppdragsforskning!J$43))</f>
        <v/>
      </c>
      <c r="L35" s="150"/>
    </row>
    <row r="36" customFormat="false" ht="14.25" hidden="false" customHeight="false" outlineLevel="0" collapsed="false">
      <c r="B36" s="148"/>
      <c r="C36" s="6" t="n">
        <v>211</v>
      </c>
      <c r="D36" s="6" t="s">
        <v>128</v>
      </c>
      <c r="E36" s="155" t="n">
        <v>49988</v>
      </c>
      <c r="F36" s="156" t="str">
        <f aca="false">IF(Uppdragsforskning!$D$28="","",LEFT(Uppdragsforskning!$D$28,2))</f>
        <v/>
      </c>
      <c r="G36" s="165" t="n">
        <f aca="false">Uppdragsforskning!$D$36</f>
        <v>0</v>
      </c>
      <c r="H36" s="166" t="str">
        <f aca="false">RIGHT(K36,4)&amp;"01"</f>
        <v>01</v>
      </c>
      <c r="I36" s="165" t="e">
        <f aca="false">IF(_xlfn.NUMBERVALUE(RIGHT(K36,4))=Uppdragsforskning!$D$31,RIGHT(K36,4)&amp;Uppdragsforskning!$E$31,RIGHT(K36,4)&amp;"12")</f>
        <v>#VALUE!</v>
      </c>
      <c r="J36" s="167" t="n">
        <f aca="false">SUM(Uppdragsforskning!J124:K124)</f>
        <v>0</v>
      </c>
      <c r="K36" s="168" t="str">
        <f aca="false">IF(Uppdragsforskning!$D$36="","",IF(Uppdragsforskning!$D$31&lt;Uppdragsforskning!$D$30+1,"","Budget "&amp;Uppdragsforskning!$D$36&amp;" "&amp;Uppdragsforskning!J$43))</f>
        <v/>
      </c>
      <c r="L36" s="150"/>
    </row>
    <row r="37" customFormat="false" ht="14.25" hidden="false" customHeight="false" outlineLevel="0" collapsed="false">
      <c r="B37" s="148"/>
      <c r="C37" s="6" t="n">
        <v>22</v>
      </c>
      <c r="D37" s="6" t="s">
        <v>129</v>
      </c>
      <c r="E37" s="155" t="n">
        <v>50111</v>
      </c>
      <c r="F37" s="156" t="str">
        <f aca="false">IF(Uppdragsforskning!$D$28="","",LEFT(Uppdragsforskning!$D$28,2))</f>
        <v/>
      </c>
      <c r="G37" s="165" t="n">
        <f aca="false">Uppdragsforskning!$D$36</f>
        <v>0</v>
      </c>
      <c r="H37" s="166" t="str">
        <f aca="false">RIGHT(K37,4)&amp;"01"</f>
        <v>01</v>
      </c>
      <c r="I37" s="165" t="e">
        <f aca="false">IF(_xlfn.NUMBERVALUE(RIGHT(K37,4))=Uppdragsforskning!$D$31,RIGHT(K37,4)&amp;Uppdragsforskning!$E$31,RIGHT(K37,4)&amp;"12")</f>
        <v>#VALUE!</v>
      </c>
      <c r="J37" s="167" t="n">
        <f aca="false">SUM(Uppdragsforskning!K$103:K105)</f>
        <v>0</v>
      </c>
      <c r="K37" s="168" t="str">
        <f aca="false">IF(Uppdragsforskning!$D$36="","",IF(Uppdragsforskning!$D$31&lt;Uppdragsforskning!$D$30+1,"","Budget "&amp;Uppdragsforskning!$D$36&amp;" "&amp;Uppdragsforskning!J$43))</f>
        <v/>
      </c>
      <c r="L37" s="150"/>
    </row>
    <row r="38" customFormat="false" ht="14.25" hidden="false" customHeight="false" outlineLevel="0" collapsed="false">
      <c r="B38" s="148"/>
      <c r="C38" s="6" t="n">
        <v>23</v>
      </c>
      <c r="D38" s="6" t="s">
        <v>130</v>
      </c>
      <c r="E38" s="155" t="n">
        <v>5522</v>
      </c>
      <c r="F38" s="156" t="str">
        <f aca="false">IF(Uppdragsforskning!$D$28="","",LEFT(Uppdragsforskning!$D$28,2))</f>
        <v/>
      </c>
      <c r="G38" s="165" t="n">
        <f aca="false">Uppdragsforskning!$D$36</f>
        <v>0</v>
      </c>
      <c r="H38" s="166" t="str">
        <f aca="false">RIGHT(K38,4)&amp;"01"</f>
        <v>01</v>
      </c>
      <c r="I38" s="165" t="e">
        <f aca="false">IF(_xlfn.NUMBERVALUE(RIGHT(K38,4))=Uppdragsforskning!$D$31,RIGHT(K38,4)&amp;Uppdragsforskning!$E$31,RIGHT(K38,4)&amp;"12")</f>
        <v>#VALUE!</v>
      </c>
      <c r="J38" s="164" t="n">
        <f aca="false">SUM(Uppdragsforskning!K$74:K76)</f>
        <v>0</v>
      </c>
      <c r="K38" s="168" t="str">
        <f aca="false">IF(Uppdragsforskning!$D$36="","",IF(Uppdragsforskning!$D$31&lt;Uppdragsforskning!$D$30+1,"","Budget "&amp;Uppdragsforskning!$D$36&amp;" "&amp;Uppdragsforskning!J$43))</f>
        <v/>
      </c>
      <c r="L38" s="150"/>
    </row>
    <row r="39" customFormat="false" ht="14.25" hidden="false" customHeight="false" outlineLevel="0" collapsed="false">
      <c r="B39" s="148"/>
      <c r="C39" s="6" t="n">
        <v>23</v>
      </c>
      <c r="D39" s="6" t="s">
        <v>131</v>
      </c>
      <c r="E39" s="155" t="n">
        <v>5797</v>
      </c>
      <c r="F39" s="156" t="str">
        <f aca="false">IF(Uppdragsforskning!$D$28="","",LEFT(Uppdragsforskning!$D$28,2))</f>
        <v/>
      </c>
      <c r="G39" s="165" t="n">
        <f aca="false">Uppdragsforskning!$D$36</f>
        <v>0</v>
      </c>
      <c r="H39" s="166" t="str">
        <f aca="false">RIGHT(K39,4)&amp;"01"</f>
        <v>01</v>
      </c>
      <c r="I39" s="165" t="e">
        <f aca="false">IF(_xlfn.NUMBERVALUE(RIGHT(K39,4))=Uppdragsforskning!$D$31,RIGHT(K39,4)&amp;Uppdragsforskning!$E$31,RIGHT(K39,4)&amp;"12")</f>
        <v>#VALUE!</v>
      </c>
      <c r="J39" s="167" t="n">
        <f aca="false">SUM(Uppdragsforskning!J92:K92)</f>
        <v>0</v>
      </c>
      <c r="K39" s="168" t="str">
        <f aca="false">IF(Uppdragsforskning!$D$36="","",IF(Uppdragsforskning!$D$31&lt;Uppdragsforskning!$D$30+1,"","Budget "&amp;Uppdragsforskning!$D$36&amp;" "&amp;Uppdragsforskning!J$43))</f>
        <v/>
      </c>
      <c r="L39" s="150"/>
    </row>
    <row r="40" customFormat="false" ht="14.25" hidden="false" customHeight="false" outlineLevel="0" collapsed="false">
      <c r="B40" s="148"/>
      <c r="C40" s="6" t="n">
        <v>23</v>
      </c>
      <c r="D40" s="6" t="s">
        <v>132</v>
      </c>
      <c r="E40" s="155" t="n">
        <v>57849</v>
      </c>
      <c r="F40" s="156" t="str">
        <f aca="false">IF(Uppdragsforskning!$D$28="","",LEFT(Uppdragsforskning!$D$28,2))</f>
        <v/>
      </c>
      <c r="G40" s="165" t="n">
        <f aca="false">Uppdragsforskning!$D$36</f>
        <v>0</v>
      </c>
      <c r="H40" s="166" t="str">
        <f aca="false">RIGHT(K40,4)&amp;"01"</f>
        <v>01</v>
      </c>
      <c r="I40" s="165" t="e">
        <f aca="false">IF(_xlfn.NUMBERVALUE(RIGHT(K40,4))=Uppdragsforskning!$D$31,RIGHT(K40,4)&amp;Uppdragsforskning!$E$31,RIGHT(K40,4)&amp;"12")</f>
        <v>#VALUE!</v>
      </c>
      <c r="J40" s="167" t="n">
        <f aca="false">SUM(Uppdragsforskning!K$109:K111)</f>
        <v>0</v>
      </c>
      <c r="K40" s="168" t="str">
        <f aca="false">IF(Uppdragsforskning!$D$36="","",IF(Uppdragsforskning!$D$31&lt;Uppdragsforskning!$D$30+1,"","Budget "&amp;Uppdragsforskning!$D$36&amp;" "&amp;Uppdragsforskning!J$43))</f>
        <v/>
      </c>
      <c r="L40" s="150"/>
    </row>
    <row r="41" customFormat="false" ht="14.25" hidden="false" customHeight="false" outlineLevel="0" collapsed="false">
      <c r="B41" s="148"/>
      <c r="C41" s="6" t="n">
        <v>24</v>
      </c>
      <c r="D41" s="6" t="s">
        <v>133</v>
      </c>
      <c r="E41" s="159" t="n">
        <v>6911</v>
      </c>
      <c r="F41" s="156" t="str">
        <f aca="false">IF(Uppdragsforskning!$D$28="","",LEFT(Uppdragsforskning!$D$28,2))</f>
        <v/>
      </c>
      <c r="G41" s="165" t="n">
        <f aca="false">Uppdragsforskning!$D$36</f>
        <v>0</v>
      </c>
      <c r="H41" s="166" t="str">
        <f aca="false">RIGHT(K41,4)&amp;"01"</f>
        <v>01</v>
      </c>
      <c r="I41" s="165" t="e">
        <f aca="false">IF(_xlfn.NUMBERVALUE(RIGHT(K41,4))=Uppdragsforskning!$D$31,RIGHT(K41,4)&amp;Uppdragsforskning!$E$31,RIGHT(K41,4)&amp;"12")</f>
        <v>#VALUE!</v>
      </c>
      <c r="J41" s="167" t="n">
        <f aca="false">SUM(Uppdragsforskning!K$98:K99)</f>
        <v>0</v>
      </c>
      <c r="K41" s="168" t="str">
        <f aca="false">IF(Uppdragsforskning!$D$36="","",IF(Uppdragsforskning!$D$31&lt;Uppdragsforskning!$D$30+1,"","Budget "&amp;Uppdragsforskning!$D$36&amp;" "&amp;Uppdragsforskning!J$43))</f>
        <v/>
      </c>
      <c r="L41" s="150"/>
    </row>
    <row r="42" customFormat="false" ht="14.25" hidden="false" customHeight="false" outlineLevel="0" collapsed="false">
      <c r="B42" s="148"/>
      <c r="C42" s="6" t="n">
        <v>11</v>
      </c>
      <c r="D42" s="6" t="s">
        <v>135</v>
      </c>
      <c r="E42" s="155" t="n">
        <v>3313</v>
      </c>
      <c r="F42" s="156" t="str">
        <f aca="false">IF(Uppdragsforskning!$D$28="","",LEFT(Uppdragsforskning!$D$28,2))</f>
        <v/>
      </c>
      <c r="G42" s="165" t="n">
        <f aca="false">Uppdragsforskning!$D$36</f>
        <v>0</v>
      </c>
      <c r="H42" s="166" t="str">
        <f aca="false">RIGHT(K42,4)&amp;"01"</f>
        <v>01</v>
      </c>
      <c r="I42" s="165" t="e">
        <f aca="false">IF(_xlfn.NUMBERVALUE(RIGHT(K42,4))=Uppdragsforskning!$D$31,RIGHT(K42,4)&amp;Uppdragsforskning!$E$31,RIGHT(K42,4)&amp;"12")</f>
        <v>#VALUE!</v>
      </c>
      <c r="J42" s="167" t="n">
        <f aca="false">SUM(Uppdragsforskning!L131:M131)*-1</f>
        <v>0</v>
      </c>
      <c r="K42" s="168" t="str">
        <f aca="false">IF(Uppdragsforskning!$D$36="","",IF(Uppdragsforskning!$D$31&lt;Uppdragsforskning!$D$30+2,"","Budget "&amp;Uppdragsforskning!$D$36&amp;" "&amp;Uppdragsforskning!L$43))</f>
        <v/>
      </c>
      <c r="L42" s="150"/>
    </row>
    <row r="43" customFormat="false" ht="14.25" hidden="false" customHeight="false" outlineLevel="0" collapsed="false">
      <c r="B43" s="148"/>
      <c r="C43" s="6" t="n">
        <v>21</v>
      </c>
      <c r="D43" s="6" t="s">
        <v>25</v>
      </c>
      <c r="E43" s="155" t="n">
        <v>4011</v>
      </c>
      <c r="F43" s="156" t="str">
        <f aca="false">IF(Uppdragsforskning!$D$28="","",LEFT(Uppdragsforskning!$D$28,2))</f>
        <v/>
      </c>
      <c r="G43" s="165" t="n">
        <f aca="false">Uppdragsforskning!$D$36</f>
        <v>0</v>
      </c>
      <c r="H43" s="166" t="str">
        <f aca="false">RIGHT(K43,4)&amp;"01"</f>
        <v>01</v>
      </c>
      <c r="I43" s="165" t="e">
        <f aca="false">IF(_xlfn.NUMBERVALUE(RIGHT(K43,4))=Uppdragsforskning!$D$31,RIGHT(K43,4)&amp;Uppdragsforskning!$E$31,RIGHT(K43,4)&amp;"12")</f>
        <v>#VALUE!</v>
      </c>
      <c r="J43" s="167" t="n">
        <f aca="false">SUM(Uppdragsforskning!L65:M65)</f>
        <v>0</v>
      </c>
      <c r="K43" s="168" t="str">
        <f aca="false">IF(Uppdragsforskning!$D$36="","",IF(Uppdragsforskning!$D$31&lt;Uppdragsforskning!$D$30+2,"","Budget "&amp;Uppdragsforskning!$D$36&amp;" "&amp;Uppdragsforskning!L$43))</f>
        <v/>
      </c>
      <c r="L43" s="150"/>
    </row>
    <row r="44" customFormat="false" ht="14.25" hidden="false" customHeight="false" outlineLevel="0" collapsed="false">
      <c r="B44" s="148"/>
      <c r="C44" s="6" t="n">
        <v>211</v>
      </c>
      <c r="D44" s="6" t="s">
        <v>128</v>
      </c>
      <c r="E44" s="155" t="n">
        <v>49988</v>
      </c>
      <c r="F44" s="156" t="str">
        <f aca="false">IF(Uppdragsforskning!$D$28="","",LEFT(Uppdragsforskning!$D$28,2))</f>
        <v/>
      </c>
      <c r="G44" s="165" t="n">
        <f aca="false">Uppdragsforskning!$D$36</f>
        <v>0</v>
      </c>
      <c r="H44" s="166" t="str">
        <f aca="false">RIGHT(K44,4)&amp;"01"</f>
        <v>01</v>
      </c>
      <c r="I44" s="165" t="e">
        <f aca="false">IF(_xlfn.NUMBERVALUE(RIGHT(K44,4))=Uppdragsforskning!$D$31,RIGHT(K44,4)&amp;Uppdragsforskning!$E$31,RIGHT(K44,4)&amp;"12")</f>
        <v>#VALUE!</v>
      </c>
      <c r="J44" s="167" t="n">
        <f aca="false">SUM(Uppdragsforskning!L124:M124)</f>
        <v>0</v>
      </c>
      <c r="K44" s="168" t="str">
        <f aca="false">IF(Uppdragsforskning!$D$36="","",IF(Uppdragsforskning!$D$31&lt;Uppdragsforskning!$D$30+2,"","Budget "&amp;Uppdragsforskning!$D$36&amp;" "&amp;Uppdragsforskning!L$43))</f>
        <v/>
      </c>
      <c r="L44" s="150"/>
    </row>
    <row r="45" customFormat="false" ht="14.25" hidden="false" customHeight="false" outlineLevel="0" collapsed="false">
      <c r="B45" s="148"/>
      <c r="C45" s="6" t="n">
        <v>22</v>
      </c>
      <c r="D45" s="6" t="s">
        <v>129</v>
      </c>
      <c r="E45" s="155" t="n">
        <v>50111</v>
      </c>
      <c r="F45" s="156" t="str">
        <f aca="false">IF(Uppdragsforskning!$D$28="","",LEFT(Uppdragsforskning!$D$28,2))</f>
        <v/>
      </c>
      <c r="G45" s="165" t="n">
        <f aca="false">Uppdragsforskning!$D$36</f>
        <v>0</v>
      </c>
      <c r="H45" s="166" t="str">
        <f aca="false">RIGHT(K45,4)&amp;"01"</f>
        <v>01</v>
      </c>
      <c r="I45" s="165" t="e">
        <f aca="false">IF(_xlfn.NUMBERVALUE(RIGHT(K45,4))=Uppdragsforskning!$D$31,RIGHT(K45,4)&amp;Uppdragsforskning!$E$31,RIGHT(K45,4)&amp;"12")</f>
        <v>#VALUE!</v>
      </c>
      <c r="J45" s="167" t="n">
        <f aca="false">SUM(Uppdragsforskning!M$103:M105)</f>
        <v>0</v>
      </c>
      <c r="K45" s="168" t="str">
        <f aca="false">IF(Uppdragsforskning!$D$36="","",IF(Uppdragsforskning!$D$31&lt;Uppdragsforskning!$D$30+2,"","Budget "&amp;Uppdragsforskning!$D$36&amp;" "&amp;Uppdragsforskning!L$43))</f>
        <v/>
      </c>
      <c r="L45" s="150"/>
    </row>
    <row r="46" customFormat="false" ht="14.25" hidden="false" customHeight="false" outlineLevel="0" collapsed="false">
      <c r="B46" s="148"/>
      <c r="C46" s="6" t="n">
        <v>23</v>
      </c>
      <c r="D46" s="6" t="s">
        <v>130</v>
      </c>
      <c r="E46" s="155" t="n">
        <v>5522</v>
      </c>
      <c r="F46" s="156" t="str">
        <f aca="false">IF(Uppdragsforskning!$D$28="","",LEFT(Uppdragsforskning!$D$28,2))</f>
        <v/>
      </c>
      <c r="G46" s="165" t="n">
        <f aca="false">Uppdragsforskning!$D$36</f>
        <v>0</v>
      </c>
      <c r="H46" s="166" t="str">
        <f aca="false">RIGHT(K46,4)&amp;"01"</f>
        <v>01</v>
      </c>
      <c r="I46" s="165" t="e">
        <f aca="false">IF(_xlfn.NUMBERVALUE(RIGHT(K46,4))=Uppdragsforskning!$D$31,RIGHT(K46,4)&amp;Uppdragsforskning!$E$31,RIGHT(K46,4)&amp;"12")</f>
        <v>#VALUE!</v>
      </c>
      <c r="J46" s="164" t="n">
        <f aca="false">SUM(Uppdragsforskning!M$74:M76)</f>
        <v>0</v>
      </c>
      <c r="K46" s="168" t="str">
        <f aca="false">IF(Uppdragsforskning!$D$36="","",IF(Uppdragsforskning!$D$31&lt;Uppdragsforskning!$D$30+2,"","Budget "&amp;Uppdragsforskning!$D$36&amp;" "&amp;Uppdragsforskning!L$43))</f>
        <v/>
      </c>
      <c r="L46" s="150"/>
    </row>
    <row r="47" customFormat="false" ht="14.25" hidden="false" customHeight="false" outlineLevel="0" collapsed="false">
      <c r="B47" s="148"/>
      <c r="C47" s="6" t="n">
        <v>23</v>
      </c>
      <c r="D47" s="6" t="s">
        <v>131</v>
      </c>
      <c r="E47" s="155" t="n">
        <v>5797</v>
      </c>
      <c r="F47" s="156" t="str">
        <f aca="false">IF(Uppdragsforskning!$D$28="","",LEFT(Uppdragsforskning!$D$28,2))</f>
        <v/>
      </c>
      <c r="G47" s="165" t="n">
        <f aca="false">Uppdragsforskning!$D$36</f>
        <v>0</v>
      </c>
      <c r="H47" s="166" t="str">
        <f aca="false">RIGHT(K47,4)&amp;"01"</f>
        <v>01</v>
      </c>
      <c r="I47" s="165" t="e">
        <f aca="false">IF(_xlfn.NUMBERVALUE(RIGHT(K47,4))=Uppdragsforskning!$D$31,RIGHT(K47,4)&amp;Uppdragsforskning!$E$31,RIGHT(K47,4)&amp;"12")</f>
        <v>#VALUE!</v>
      </c>
      <c r="J47" s="167" t="n">
        <f aca="false">SUM(Uppdragsforskning!L92:M92)</f>
        <v>0</v>
      </c>
      <c r="K47" s="168" t="str">
        <f aca="false">IF(Uppdragsforskning!$D$36="","",IF(Uppdragsforskning!$D$31&lt;Uppdragsforskning!$D$30+2,"","Budget "&amp;Uppdragsforskning!$D$36&amp;" "&amp;Uppdragsforskning!L$43))</f>
        <v/>
      </c>
      <c r="L47" s="150"/>
    </row>
    <row r="48" customFormat="false" ht="14.25" hidden="false" customHeight="false" outlineLevel="0" collapsed="false">
      <c r="B48" s="148"/>
      <c r="C48" s="6" t="n">
        <v>23</v>
      </c>
      <c r="D48" s="6" t="s">
        <v>132</v>
      </c>
      <c r="E48" s="155" t="n">
        <v>57849</v>
      </c>
      <c r="F48" s="156" t="str">
        <f aca="false">IF(Uppdragsforskning!$D$28="","",LEFT(Uppdragsforskning!$D$28,2))</f>
        <v/>
      </c>
      <c r="G48" s="165" t="n">
        <f aca="false">Uppdragsforskning!$D$36</f>
        <v>0</v>
      </c>
      <c r="H48" s="166" t="str">
        <f aca="false">RIGHT(K48,4)&amp;"01"</f>
        <v>01</v>
      </c>
      <c r="I48" s="165" t="e">
        <f aca="false">IF(_xlfn.NUMBERVALUE(RIGHT(K48,4))=Uppdragsforskning!$D$31,RIGHT(K48,4)&amp;Uppdragsforskning!$E$31,RIGHT(K48,4)&amp;"12")</f>
        <v>#VALUE!</v>
      </c>
      <c r="J48" s="167" t="n">
        <f aca="false">SUM(Uppdragsforskning!M$109:M111)</f>
        <v>0</v>
      </c>
      <c r="K48" s="168" t="str">
        <f aca="false">IF(Uppdragsforskning!$D$36="","",IF(Uppdragsforskning!$D$31&lt;Uppdragsforskning!$D$30+2,"","Budget "&amp;Uppdragsforskning!$D$36&amp;" "&amp;Uppdragsforskning!L$43))</f>
        <v/>
      </c>
      <c r="L48" s="150"/>
    </row>
    <row r="49" customFormat="false" ht="14.25" hidden="false" customHeight="false" outlineLevel="0" collapsed="false">
      <c r="B49" s="148"/>
      <c r="C49" s="6" t="n">
        <v>24</v>
      </c>
      <c r="D49" s="6" t="s">
        <v>133</v>
      </c>
      <c r="E49" s="159" t="n">
        <v>6911</v>
      </c>
      <c r="F49" s="156" t="str">
        <f aca="false">IF(Uppdragsforskning!$D$28="","",LEFT(Uppdragsforskning!$D$28,2))</f>
        <v/>
      </c>
      <c r="G49" s="165" t="n">
        <f aca="false">Uppdragsforskning!$D$36</f>
        <v>0</v>
      </c>
      <c r="H49" s="166" t="str">
        <f aca="false">RIGHT(K49,4)&amp;"01"</f>
        <v>01</v>
      </c>
      <c r="I49" s="165" t="e">
        <f aca="false">IF(_xlfn.NUMBERVALUE(RIGHT(K49,4))=Uppdragsforskning!$D$31,RIGHT(K49,4)&amp;Uppdragsforskning!$E$31,RIGHT(K49,4)&amp;"12")</f>
        <v>#VALUE!</v>
      </c>
      <c r="J49" s="167" t="n">
        <f aca="false">SUM(Uppdragsforskning!M$98:M99)</f>
        <v>0</v>
      </c>
      <c r="K49" s="168" t="str">
        <f aca="false">IF(Uppdragsforskning!$D$36="","",IF(Uppdragsforskning!$D$31&lt;Uppdragsforskning!$D$30+2,"","Budget "&amp;Uppdragsforskning!$D$36&amp;" "&amp;Uppdragsforskning!L$43))</f>
        <v/>
      </c>
      <c r="L49" s="150"/>
    </row>
    <row r="50" customFormat="false" ht="14.25" hidden="false" customHeight="false" outlineLevel="0" collapsed="false">
      <c r="B50" s="148"/>
      <c r="C50" s="6" t="n">
        <v>11</v>
      </c>
      <c r="D50" s="6" t="s">
        <v>135</v>
      </c>
      <c r="E50" s="155" t="n">
        <v>3313</v>
      </c>
      <c r="F50" s="156" t="str">
        <f aca="false">IF(Uppdragsforskning!$D$28="","",LEFT(Uppdragsforskning!$D$28,2))</f>
        <v/>
      </c>
      <c r="G50" s="165" t="n">
        <f aca="false">Uppdragsforskning!$D$36</f>
        <v>0</v>
      </c>
      <c r="H50" s="166" t="str">
        <f aca="false">RIGHT(K50,4)&amp;"01"</f>
        <v>01</v>
      </c>
      <c r="I50" s="165" t="e">
        <f aca="false">IF(_xlfn.NUMBERVALUE(RIGHT(K50,4))=Uppdragsforskning!$D$31,RIGHT(K50,4)&amp;Uppdragsforskning!$E$31,RIGHT(K50,4)&amp;"12")</f>
        <v>#VALUE!</v>
      </c>
      <c r="J50" s="167" t="n">
        <f aca="false">SUM(Uppdragsforskning!N131:O131)*-1</f>
        <v>0</v>
      </c>
      <c r="K50" s="168" t="str">
        <f aca="false">IF(Uppdragsforskning!$D$36="","",IF(Uppdragsforskning!$D$31&lt;Uppdragsforskning!$D$30+3,"","Budget "&amp;Uppdragsforskning!$D$36&amp;" "&amp;Uppdragsforskning!N$43))</f>
        <v/>
      </c>
      <c r="L50" s="150"/>
    </row>
    <row r="51" customFormat="false" ht="14.25" hidden="false" customHeight="false" outlineLevel="0" collapsed="false">
      <c r="B51" s="148"/>
      <c r="C51" s="6" t="n">
        <v>21</v>
      </c>
      <c r="D51" s="6" t="s">
        <v>25</v>
      </c>
      <c r="E51" s="155" t="n">
        <v>4011</v>
      </c>
      <c r="F51" s="156" t="str">
        <f aca="false">IF(Uppdragsforskning!$D$28="","",LEFT(Uppdragsforskning!$D$28,2))</f>
        <v/>
      </c>
      <c r="G51" s="165" t="n">
        <f aca="false">Uppdragsforskning!$D$36</f>
        <v>0</v>
      </c>
      <c r="H51" s="166" t="str">
        <f aca="false">RIGHT(K51,4)&amp;"01"</f>
        <v>01</v>
      </c>
      <c r="I51" s="165" t="e">
        <f aca="false">IF(_xlfn.NUMBERVALUE(RIGHT(K51,4))=Uppdragsforskning!$D$31,RIGHT(K51,4)&amp;Uppdragsforskning!$E$31,RIGHT(K51,4)&amp;"12")</f>
        <v>#VALUE!</v>
      </c>
      <c r="J51" s="167" t="n">
        <f aca="false">SUM(Uppdragsforskning!N65:O65)</f>
        <v>0</v>
      </c>
      <c r="K51" s="168" t="str">
        <f aca="false">IF(Uppdragsforskning!$D$36="","",IF(Uppdragsforskning!$D$31&lt;Uppdragsforskning!$D$30+3,"","Budget "&amp;Uppdragsforskning!$D$36&amp;" "&amp;Uppdragsforskning!N$43))</f>
        <v/>
      </c>
      <c r="L51" s="150"/>
    </row>
    <row r="52" customFormat="false" ht="14.25" hidden="false" customHeight="false" outlineLevel="0" collapsed="false">
      <c r="B52" s="148"/>
      <c r="C52" s="6" t="n">
        <v>211</v>
      </c>
      <c r="D52" s="6" t="s">
        <v>128</v>
      </c>
      <c r="E52" s="155" t="n">
        <v>49988</v>
      </c>
      <c r="F52" s="156" t="str">
        <f aca="false">IF(Uppdragsforskning!$D$28="","",LEFT(Uppdragsforskning!$D$28,2))</f>
        <v/>
      </c>
      <c r="G52" s="165" t="n">
        <f aca="false">Uppdragsforskning!$D$36</f>
        <v>0</v>
      </c>
      <c r="H52" s="166" t="str">
        <f aca="false">RIGHT(K52,4)&amp;"01"</f>
        <v>01</v>
      </c>
      <c r="I52" s="165" t="e">
        <f aca="false">IF(_xlfn.NUMBERVALUE(RIGHT(K52,4))=Uppdragsforskning!$D$31,RIGHT(K52,4)&amp;Uppdragsforskning!$E$31,RIGHT(K52,4)&amp;"12")</f>
        <v>#VALUE!</v>
      </c>
      <c r="J52" s="167" t="n">
        <f aca="false">SUM(Uppdragsforskning!N124:O124)</f>
        <v>0</v>
      </c>
      <c r="K52" s="168" t="str">
        <f aca="false">IF(Uppdragsforskning!$D$36="","",IF(Uppdragsforskning!$D$31&lt;Uppdragsforskning!$D$30+3,"","Budget "&amp;Uppdragsforskning!$D$36&amp;" "&amp;Uppdragsforskning!N$43))</f>
        <v/>
      </c>
      <c r="L52" s="150"/>
    </row>
    <row r="53" customFormat="false" ht="14.25" hidden="false" customHeight="false" outlineLevel="0" collapsed="false">
      <c r="B53" s="148"/>
      <c r="C53" s="6" t="n">
        <v>22</v>
      </c>
      <c r="D53" s="6" t="s">
        <v>129</v>
      </c>
      <c r="E53" s="155" t="n">
        <v>50111</v>
      </c>
      <c r="F53" s="156" t="str">
        <f aca="false">IF(Uppdragsforskning!$D$28="","",LEFT(Uppdragsforskning!$D$28,2))</f>
        <v/>
      </c>
      <c r="G53" s="165" t="n">
        <f aca="false">Uppdragsforskning!$D$36</f>
        <v>0</v>
      </c>
      <c r="H53" s="166" t="str">
        <f aca="false">RIGHT(K53,4)&amp;"01"</f>
        <v>01</v>
      </c>
      <c r="I53" s="165" t="e">
        <f aca="false">IF(_xlfn.NUMBERVALUE(RIGHT(K53,4))=Uppdragsforskning!$D$31,RIGHT(K53,4)&amp;Uppdragsforskning!$E$31,RIGHT(K53,4)&amp;"12")</f>
        <v>#VALUE!</v>
      </c>
      <c r="J53" s="167" t="n">
        <f aca="false">SUM(Uppdragsforskning!O$103:O105)</f>
        <v>0</v>
      </c>
      <c r="K53" s="168" t="str">
        <f aca="false">IF(Uppdragsforskning!$D$36="","",IF(Uppdragsforskning!$D$31&lt;Uppdragsforskning!$D$30+3,"","Budget "&amp;Uppdragsforskning!$D$36&amp;" "&amp;Uppdragsforskning!N$43))</f>
        <v/>
      </c>
      <c r="L53" s="150"/>
    </row>
    <row r="54" customFormat="false" ht="14.25" hidden="false" customHeight="false" outlineLevel="0" collapsed="false">
      <c r="B54" s="148"/>
      <c r="C54" s="6" t="n">
        <v>23</v>
      </c>
      <c r="D54" s="6" t="s">
        <v>130</v>
      </c>
      <c r="E54" s="155" t="n">
        <v>5522</v>
      </c>
      <c r="F54" s="156" t="str">
        <f aca="false">IF(Uppdragsforskning!$D$28="","",LEFT(Uppdragsforskning!$D$28,2))</f>
        <v/>
      </c>
      <c r="G54" s="165" t="n">
        <f aca="false">Uppdragsforskning!$D$36</f>
        <v>0</v>
      </c>
      <c r="H54" s="166" t="str">
        <f aca="false">RIGHT(K54,4)&amp;"01"</f>
        <v>01</v>
      </c>
      <c r="I54" s="165" t="e">
        <f aca="false">IF(_xlfn.NUMBERVALUE(RIGHT(K54,4))=Uppdragsforskning!$D$31,RIGHT(K54,4)&amp;Uppdragsforskning!$E$31,RIGHT(K54,4)&amp;"12")</f>
        <v>#VALUE!</v>
      </c>
      <c r="J54" s="164" t="n">
        <f aca="false">SUM(Uppdragsforskning!O$74:O76)</f>
        <v>0</v>
      </c>
      <c r="K54" s="168" t="str">
        <f aca="false">IF(Uppdragsforskning!$D$36="","",IF(Uppdragsforskning!$D$31&lt;Uppdragsforskning!$D$30+3,"","Budget "&amp;Uppdragsforskning!$D$36&amp;" "&amp;Uppdragsforskning!N$43))</f>
        <v/>
      </c>
      <c r="L54" s="150"/>
    </row>
    <row r="55" customFormat="false" ht="14.25" hidden="false" customHeight="false" outlineLevel="0" collapsed="false">
      <c r="B55" s="148"/>
      <c r="C55" s="6" t="n">
        <v>23</v>
      </c>
      <c r="D55" s="6" t="s">
        <v>131</v>
      </c>
      <c r="E55" s="155" t="n">
        <v>5797</v>
      </c>
      <c r="F55" s="156" t="str">
        <f aca="false">IF(Uppdragsforskning!$D$28="","",LEFT(Uppdragsforskning!$D$28,2))</f>
        <v/>
      </c>
      <c r="G55" s="165" t="n">
        <f aca="false">Uppdragsforskning!$D$36</f>
        <v>0</v>
      </c>
      <c r="H55" s="166" t="str">
        <f aca="false">RIGHT(K55,4)&amp;"01"</f>
        <v>01</v>
      </c>
      <c r="I55" s="165" t="e">
        <f aca="false">IF(_xlfn.NUMBERVALUE(RIGHT(K55,4))=Uppdragsforskning!$D$31,RIGHT(K55,4)&amp;Uppdragsforskning!$E$31,RIGHT(K55,4)&amp;"12")</f>
        <v>#VALUE!</v>
      </c>
      <c r="J55" s="167" t="n">
        <f aca="false">SUM(Uppdragsforskning!N92:O92)</f>
        <v>0</v>
      </c>
      <c r="K55" s="168" t="str">
        <f aca="false">IF(Uppdragsforskning!$D$36="","",IF(Uppdragsforskning!$D$31&lt;Uppdragsforskning!$D$30+3,"","Budget "&amp;Uppdragsforskning!$D$36&amp;" "&amp;Uppdragsforskning!N$43))</f>
        <v/>
      </c>
      <c r="L55" s="150"/>
    </row>
    <row r="56" customFormat="false" ht="14.25" hidden="false" customHeight="false" outlineLevel="0" collapsed="false">
      <c r="B56" s="148"/>
      <c r="C56" s="6" t="n">
        <v>23</v>
      </c>
      <c r="D56" s="6" t="s">
        <v>132</v>
      </c>
      <c r="E56" s="155" t="n">
        <v>57849</v>
      </c>
      <c r="F56" s="156" t="str">
        <f aca="false">IF(Uppdragsforskning!$D$28="","",LEFT(Uppdragsforskning!$D$28,2))</f>
        <v/>
      </c>
      <c r="G56" s="165" t="n">
        <f aca="false">Uppdragsforskning!$D$36</f>
        <v>0</v>
      </c>
      <c r="H56" s="166" t="str">
        <f aca="false">RIGHT(K56,4)&amp;"01"</f>
        <v>01</v>
      </c>
      <c r="I56" s="165" t="e">
        <f aca="false">IF(_xlfn.NUMBERVALUE(RIGHT(K56,4))=Uppdragsforskning!$D$31,RIGHT(K56,4)&amp;Uppdragsforskning!$E$31,RIGHT(K56,4)&amp;"12")</f>
        <v>#VALUE!</v>
      </c>
      <c r="J56" s="167" t="n">
        <f aca="false">SUM(Uppdragsforskning!O$109:O111)</f>
        <v>0</v>
      </c>
      <c r="K56" s="168" t="str">
        <f aca="false">IF(Uppdragsforskning!$D$36="","",IF(Uppdragsforskning!$D$31&lt;Uppdragsforskning!$D$30+3,"","Budget "&amp;Uppdragsforskning!$D$36&amp;" "&amp;Uppdragsforskning!N$43))</f>
        <v/>
      </c>
      <c r="L56" s="150"/>
    </row>
    <row r="57" customFormat="false" ht="14.25" hidden="false" customHeight="false" outlineLevel="0" collapsed="false">
      <c r="B57" s="148"/>
      <c r="C57" s="6" t="n">
        <v>24</v>
      </c>
      <c r="D57" s="6" t="s">
        <v>133</v>
      </c>
      <c r="E57" s="159" t="n">
        <v>6911</v>
      </c>
      <c r="F57" s="156" t="str">
        <f aca="false">IF(Uppdragsforskning!$D$28="","",LEFT(Uppdragsforskning!$D$28,2))</f>
        <v/>
      </c>
      <c r="G57" s="165" t="n">
        <f aca="false">Uppdragsforskning!$D$36</f>
        <v>0</v>
      </c>
      <c r="H57" s="166" t="str">
        <f aca="false">RIGHT(K57,4)&amp;"01"</f>
        <v>01</v>
      </c>
      <c r="I57" s="165" t="e">
        <f aca="false">IF(_xlfn.NUMBERVALUE(RIGHT(K57,4))=Uppdragsforskning!$D$31,RIGHT(K57,4)&amp;Uppdragsforskning!$E$31,RIGHT(K57,4)&amp;"12")</f>
        <v>#VALUE!</v>
      </c>
      <c r="J57" s="167" t="n">
        <f aca="false">SUM(Uppdragsforskning!O$98:O99)</f>
        <v>0</v>
      </c>
      <c r="K57" s="168" t="str">
        <f aca="false">IF(Uppdragsforskning!$D$36="","",IF(Uppdragsforskning!$D$31&lt;Uppdragsforskning!$D$30+3,"","Budget "&amp;Uppdragsforskning!$D$36&amp;" "&amp;Uppdragsforskning!N$43))</f>
        <v/>
      </c>
      <c r="L57" s="150"/>
    </row>
    <row r="58" customFormat="false" ht="14.25" hidden="false" customHeight="false" outlineLevel="0" collapsed="false">
      <c r="B58" s="148"/>
      <c r="C58" s="6" t="n">
        <v>11</v>
      </c>
      <c r="D58" s="6" t="s">
        <v>135</v>
      </c>
      <c r="E58" s="155" t="n">
        <v>3313</v>
      </c>
      <c r="F58" s="156" t="str">
        <f aca="false">IF(Uppdragsforskning!$D$28="","",LEFT(Uppdragsforskning!$D$28,2))</f>
        <v/>
      </c>
      <c r="G58" s="165" t="n">
        <f aca="false">Uppdragsforskning!$D$36</f>
        <v>0</v>
      </c>
      <c r="H58" s="166" t="str">
        <f aca="false">RIGHT(K58,4)&amp;"01"</f>
        <v>01</v>
      </c>
      <c r="I58" s="165" t="e">
        <f aca="false">IF(_xlfn.NUMBERVALUE(RIGHT(K58,4))=Uppdragsforskning!$D$31,RIGHT(K58,4)&amp;Uppdragsforskning!$E$31,RIGHT(K58,4)&amp;"12")</f>
        <v>#VALUE!</v>
      </c>
      <c r="J58" s="167" t="n">
        <f aca="false">SUM(Uppdragsforskning!P131:Q131)*-1</f>
        <v>0</v>
      </c>
      <c r="K58" s="168" t="str">
        <f aca="false">IF(Uppdragsforskning!$D$36="","",IF(Uppdragsforskning!$D$31&lt;Uppdragsforskning!$D$30+4,"","Budget "&amp;Uppdragsforskning!$D$36&amp;" "&amp;Uppdragsforskning!P$43))</f>
        <v/>
      </c>
      <c r="L58" s="150"/>
    </row>
    <row r="59" customFormat="false" ht="14.25" hidden="false" customHeight="false" outlineLevel="0" collapsed="false">
      <c r="B59" s="148"/>
      <c r="C59" s="6" t="n">
        <v>21</v>
      </c>
      <c r="D59" s="6" t="s">
        <v>25</v>
      </c>
      <c r="E59" s="155" t="n">
        <v>4011</v>
      </c>
      <c r="F59" s="156" t="str">
        <f aca="false">IF(Uppdragsforskning!$D$28="","",LEFT(Uppdragsforskning!$D$28,2))</f>
        <v/>
      </c>
      <c r="G59" s="165" t="n">
        <f aca="false">Uppdragsforskning!$D$36</f>
        <v>0</v>
      </c>
      <c r="H59" s="166" t="str">
        <f aca="false">RIGHT(K59,4)&amp;"01"</f>
        <v>01</v>
      </c>
      <c r="I59" s="165" t="e">
        <f aca="false">IF(_xlfn.NUMBERVALUE(RIGHT(K59,4))=Uppdragsforskning!$D$31,RIGHT(K59,4)&amp;Uppdragsforskning!$E$31,RIGHT(K59,4)&amp;"12")</f>
        <v>#VALUE!</v>
      </c>
      <c r="J59" s="167" t="n">
        <f aca="false">SUM(Uppdragsforskning!P65:Q65)</f>
        <v>0</v>
      </c>
      <c r="K59" s="168" t="str">
        <f aca="false">IF(Uppdragsforskning!$D$36="","",IF(Uppdragsforskning!$D$31&lt;Uppdragsforskning!$D$30+4,"","Budget "&amp;Uppdragsforskning!$D$36&amp;" "&amp;Uppdragsforskning!P$43))</f>
        <v/>
      </c>
      <c r="L59" s="150"/>
    </row>
    <row r="60" customFormat="false" ht="14.25" hidden="false" customHeight="false" outlineLevel="0" collapsed="false">
      <c r="B60" s="148"/>
      <c r="C60" s="6" t="n">
        <v>211</v>
      </c>
      <c r="D60" s="6" t="s">
        <v>128</v>
      </c>
      <c r="E60" s="155" t="n">
        <v>49988</v>
      </c>
      <c r="F60" s="156" t="str">
        <f aca="false">IF(Uppdragsforskning!$D$28="","",LEFT(Uppdragsforskning!$D$28,2))</f>
        <v/>
      </c>
      <c r="G60" s="165" t="n">
        <f aca="false">Uppdragsforskning!$D$36</f>
        <v>0</v>
      </c>
      <c r="H60" s="166" t="str">
        <f aca="false">RIGHT(K60,4)&amp;"01"</f>
        <v>01</v>
      </c>
      <c r="I60" s="165" t="e">
        <f aca="false">IF(_xlfn.NUMBERVALUE(RIGHT(K60,4))=Uppdragsforskning!$D$31,RIGHT(K60,4)&amp;Uppdragsforskning!$E$31,RIGHT(K60,4)&amp;"12")</f>
        <v>#VALUE!</v>
      </c>
      <c r="J60" s="167" t="n">
        <f aca="false">SUM(Uppdragsforskning!P124:Q124)</f>
        <v>0</v>
      </c>
      <c r="K60" s="168" t="str">
        <f aca="false">IF(Uppdragsforskning!$D$36="","",IF(Uppdragsforskning!$D$31&lt;Uppdragsforskning!$D$30+4,"","Budget "&amp;Uppdragsforskning!$D$36&amp;" "&amp;Uppdragsforskning!P$43))</f>
        <v/>
      </c>
      <c r="L60" s="150"/>
    </row>
    <row r="61" customFormat="false" ht="14.25" hidden="false" customHeight="false" outlineLevel="0" collapsed="false">
      <c r="B61" s="148"/>
      <c r="C61" s="6" t="n">
        <v>22</v>
      </c>
      <c r="D61" s="6" t="s">
        <v>129</v>
      </c>
      <c r="E61" s="155" t="n">
        <v>50111</v>
      </c>
      <c r="F61" s="156" t="str">
        <f aca="false">IF(Uppdragsforskning!$D$28="","",LEFT(Uppdragsforskning!$D$28,2))</f>
        <v/>
      </c>
      <c r="G61" s="165" t="n">
        <f aca="false">Uppdragsforskning!$D$36</f>
        <v>0</v>
      </c>
      <c r="H61" s="166" t="str">
        <f aca="false">RIGHT(K61,4)&amp;"01"</f>
        <v>01</v>
      </c>
      <c r="I61" s="165" t="e">
        <f aca="false">IF(_xlfn.NUMBERVALUE(RIGHT(K61,4))=Uppdragsforskning!$D$31,RIGHT(K61,4)&amp;Uppdragsforskning!$E$31,RIGHT(K61,4)&amp;"12")</f>
        <v>#VALUE!</v>
      </c>
      <c r="J61" s="167" t="n">
        <f aca="false">SUM(Uppdragsforskning!Q$103:Q105)</f>
        <v>0</v>
      </c>
      <c r="K61" s="168" t="str">
        <f aca="false">IF(Uppdragsforskning!$D$36="","",IF(Uppdragsforskning!$D$31&lt;Uppdragsforskning!$D$30+4,"","Budget "&amp;Uppdragsforskning!$D$36&amp;" "&amp;Uppdragsforskning!P$43))</f>
        <v/>
      </c>
      <c r="L61" s="150"/>
    </row>
    <row r="62" customFormat="false" ht="14.25" hidden="false" customHeight="false" outlineLevel="0" collapsed="false">
      <c r="B62" s="148"/>
      <c r="C62" s="6" t="n">
        <v>23</v>
      </c>
      <c r="D62" s="6" t="s">
        <v>130</v>
      </c>
      <c r="E62" s="155" t="n">
        <v>5522</v>
      </c>
      <c r="F62" s="156" t="str">
        <f aca="false">IF(Uppdragsforskning!$D$28="","",LEFT(Uppdragsforskning!$D$28,2))</f>
        <v/>
      </c>
      <c r="G62" s="165" t="n">
        <f aca="false">Uppdragsforskning!$D$36</f>
        <v>0</v>
      </c>
      <c r="H62" s="166" t="str">
        <f aca="false">RIGHT(K62,4)&amp;"01"</f>
        <v>01</v>
      </c>
      <c r="I62" s="165" t="e">
        <f aca="false">IF(_xlfn.NUMBERVALUE(RIGHT(K62,4))=Uppdragsforskning!$D$31,RIGHT(K62,4)&amp;Uppdragsforskning!$E$31,RIGHT(K62,4)&amp;"12")</f>
        <v>#VALUE!</v>
      </c>
      <c r="J62" s="164" t="n">
        <f aca="false">SUM(Uppdragsforskning!Q$74:Q76)</f>
        <v>0</v>
      </c>
      <c r="K62" s="168" t="str">
        <f aca="false">IF(Uppdragsforskning!$D$36="","",IF(Uppdragsforskning!$D$31&lt;Uppdragsforskning!$D$30+4,"","Budget "&amp;Uppdragsforskning!$D$36&amp;" "&amp;Uppdragsforskning!P$43))</f>
        <v/>
      </c>
      <c r="L62" s="150"/>
    </row>
    <row r="63" customFormat="false" ht="14.25" hidden="false" customHeight="false" outlineLevel="0" collapsed="false">
      <c r="B63" s="148"/>
      <c r="C63" s="6" t="n">
        <v>23</v>
      </c>
      <c r="D63" s="6" t="s">
        <v>131</v>
      </c>
      <c r="E63" s="155" t="n">
        <v>5797</v>
      </c>
      <c r="F63" s="156" t="str">
        <f aca="false">IF(Uppdragsforskning!$D$28="","",LEFT(Uppdragsforskning!$D$28,2))</f>
        <v/>
      </c>
      <c r="G63" s="165" t="n">
        <f aca="false">Uppdragsforskning!$D$36</f>
        <v>0</v>
      </c>
      <c r="H63" s="166" t="str">
        <f aca="false">RIGHT(K63,4)&amp;"01"</f>
        <v>01</v>
      </c>
      <c r="I63" s="165" t="e">
        <f aca="false">IF(_xlfn.NUMBERVALUE(RIGHT(K63,4))=Uppdragsforskning!$D$31,RIGHT(K63,4)&amp;Uppdragsforskning!$E$31,RIGHT(K63,4)&amp;"12")</f>
        <v>#VALUE!</v>
      </c>
      <c r="J63" s="167" t="n">
        <f aca="false">SUM(Uppdragsforskning!P92:Q92)</f>
        <v>0</v>
      </c>
      <c r="K63" s="168" t="str">
        <f aca="false">IF(Uppdragsforskning!$D$36="","",IF(Uppdragsforskning!$D$31&lt;Uppdragsforskning!$D$30+4,"","Budget "&amp;Uppdragsforskning!$D$36&amp;" "&amp;Uppdragsforskning!P$43))</f>
        <v/>
      </c>
      <c r="L63" s="150"/>
    </row>
    <row r="64" customFormat="false" ht="14.25" hidden="false" customHeight="false" outlineLevel="0" collapsed="false">
      <c r="B64" s="148"/>
      <c r="C64" s="6" t="n">
        <v>23</v>
      </c>
      <c r="D64" s="6" t="s">
        <v>132</v>
      </c>
      <c r="E64" s="155" t="n">
        <v>57849</v>
      </c>
      <c r="F64" s="156" t="str">
        <f aca="false">IF(Uppdragsforskning!$D$28="","",LEFT(Uppdragsforskning!$D$28,2))</f>
        <v/>
      </c>
      <c r="G64" s="165" t="n">
        <f aca="false">Uppdragsforskning!$D$36</f>
        <v>0</v>
      </c>
      <c r="H64" s="166" t="str">
        <f aca="false">RIGHT(K64,4)&amp;"01"</f>
        <v>01</v>
      </c>
      <c r="I64" s="165" t="e">
        <f aca="false">IF(_xlfn.NUMBERVALUE(RIGHT(K64,4))=Uppdragsforskning!$D$31,RIGHT(K64,4)&amp;Uppdragsforskning!$E$31,RIGHT(K64,4)&amp;"12")</f>
        <v>#VALUE!</v>
      </c>
      <c r="J64" s="167" t="n">
        <f aca="false">SUM(Uppdragsforskning!Q$109:Q111)</f>
        <v>0</v>
      </c>
      <c r="K64" s="168" t="str">
        <f aca="false">IF(Uppdragsforskning!$D$36="","",IF(Uppdragsforskning!$D$31&lt;Uppdragsforskning!$D$30+4,"","Budget "&amp;Uppdragsforskning!$D$36&amp;" "&amp;Uppdragsforskning!P$43))</f>
        <v/>
      </c>
      <c r="L64" s="150"/>
    </row>
    <row r="65" customFormat="false" ht="14.25" hidden="false" customHeight="false" outlineLevel="0" collapsed="false">
      <c r="B65" s="148"/>
      <c r="C65" s="6" t="n">
        <v>24</v>
      </c>
      <c r="D65" s="6" t="s">
        <v>133</v>
      </c>
      <c r="E65" s="159" t="n">
        <v>6911</v>
      </c>
      <c r="F65" s="156" t="str">
        <f aca="false">IF(Uppdragsforskning!$D$28="","",LEFT(Uppdragsforskning!$D$28,2))</f>
        <v/>
      </c>
      <c r="G65" s="169" t="n">
        <f aca="false">Uppdragsforskning!$D$36</f>
        <v>0</v>
      </c>
      <c r="H65" s="170" t="str">
        <f aca="false">RIGHT(K65,4)&amp;"01"</f>
        <v>01</v>
      </c>
      <c r="I65" s="169" t="e">
        <f aca="false">IF(_xlfn.NUMBERVALUE(RIGHT(K65,4))=Uppdragsforskning!$D$31,RIGHT(K65,4)&amp;Uppdragsforskning!$E$31,RIGHT(K65,4)&amp;"12")</f>
        <v>#VALUE!</v>
      </c>
      <c r="J65" s="167" t="n">
        <f aca="false">SUM(Uppdragsforskning!Q$98:Q99)</f>
        <v>0</v>
      </c>
      <c r="K65" s="168" t="str">
        <f aca="false">IF(Uppdragsforskning!$D$36="","",IF(Uppdragsforskning!$D$31&lt;Uppdragsforskning!$D$30+4,"","Budget "&amp;Uppdragsforskning!$D$36&amp;" "&amp;Uppdragsforskning!P$43))</f>
        <v/>
      </c>
      <c r="L65" s="150"/>
    </row>
    <row r="66" customFormat="false" ht="15" hidden="false" customHeight="false" outlineLevel="0" collapsed="false">
      <c r="B66" s="171"/>
      <c r="C66" s="118"/>
      <c r="D66" s="118"/>
      <c r="E66" s="118"/>
      <c r="F66" s="118"/>
      <c r="G66" s="118"/>
      <c r="H66" s="172"/>
      <c r="I66" s="173"/>
      <c r="J66" s="172"/>
      <c r="K66" s="172"/>
      <c r="L66" s="174"/>
    </row>
    <row r="67" customFormat="false" ht="15" hidden="false" customHeight="false" outlineLevel="0" collapsed="false">
      <c r="C67" s="6"/>
      <c r="D67" s="6"/>
      <c r="E67" s="6"/>
      <c r="F67" s="6"/>
      <c r="G67" s="6"/>
      <c r="H67" s="7"/>
      <c r="I67" s="175"/>
      <c r="J67" s="7"/>
      <c r="K67" s="7"/>
    </row>
    <row r="68" customFormat="false" ht="14.25" hidden="false" customHeight="false" outlineLevel="0" collapsed="false">
      <c r="C68" s="6"/>
      <c r="D68" s="6"/>
      <c r="E68" s="6"/>
      <c r="F68" s="6"/>
      <c r="G68" s="6"/>
      <c r="H68" s="7"/>
      <c r="I68" s="175"/>
      <c r="J68" s="7"/>
      <c r="K68" s="7"/>
    </row>
    <row r="69" customFormat="false" ht="14.25" hidden="false" customHeight="false" outlineLevel="0" collapsed="false">
      <c r="C69" s="6"/>
      <c r="D69" s="6"/>
      <c r="E69" s="6"/>
      <c r="F69" s="6"/>
      <c r="G69" s="6"/>
      <c r="H69" s="7"/>
      <c r="I69" s="175"/>
      <c r="J69" s="7"/>
      <c r="K69" s="7"/>
    </row>
    <row r="74" customFormat="false" ht="14.25" hidden="false" customHeight="false" outlineLevel="0" collapsed="false">
      <c r="D74" s="176"/>
    </row>
    <row r="75" customFormat="false" ht="14.25" hidden="false" customHeight="false" outlineLevel="0" collapsed="false">
      <c r="D75" s="176"/>
    </row>
    <row r="76" customFormat="false" ht="14.25" hidden="false" customHeight="false" outlineLevel="0" collapsed="false">
      <c r="C76" s="177"/>
      <c r="D76" s="177"/>
      <c r="E76" s="177"/>
      <c r="F76" s="177"/>
      <c r="G76" s="177"/>
    </row>
    <row r="77" customFormat="false" ht="14.25" hidden="false" customHeight="false" outlineLevel="0" collapsed="false">
      <c r="D77" s="176"/>
    </row>
    <row r="79" customFormat="false" ht="14.25" hidden="false" customHeight="false" outlineLevel="0" collapsed="false">
      <c r="D79" s="176"/>
    </row>
  </sheetData>
  <mergeCells count="1">
    <mergeCell ref="B3:L8"/>
  </mergeCells>
  <printOptions headings="false" gridLines="false" gridLinesSet="true" horizontalCentered="false" verticalCentered="false"/>
  <pageMargins left="0.7" right="0.7" top="0.75" bottom="0.75" header="0.511805555555555" footer="0.511805555555555"/>
  <pageSetup paperSize="9" scale="61"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AA179"/>
  <sheetViews>
    <sheetView showFormulas="false" showGridLines="false" showRowColHeaders="true" showZeros="true" rightToLeft="false" tabSelected="true" showOutlineSymbols="true" defaultGridColor="true" view="normal" topLeftCell="A92" colorId="64" zoomScale="90" zoomScaleNormal="90" zoomScalePageLayoutView="100" workbookViewId="0">
      <selection pane="topLeft" activeCell="C105" activeCellId="0" sqref="C105"/>
    </sheetView>
  </sheetViews>
  <sheetFormatPr defaultColWidth="8.73046875" defaultRowHeight="12" zeroHeight="false" outlineLevelRow="2" outlineLevelCol="1"/>
  <cols>
    <col collapsed="false" customWidth="true" hidden="false" outlineLevel="0" max="1" min="1" style="6" width="2.75"/>
    <col collapsed="false" customWidth="true" hidden="false" outlineLevel="0" max="2" min="2" style="6" width="2.5"/>
    <col collapsed="false" customWidth="true" hidden="false" outlineLevel="0" max="3" min="3" style="6" width="21.38"/>
    <col collapsed="false" customWidth="true" hidden="false" outlineLevel="0" max="4" min="4" style="6" width="10.87"/>
    <col collapsed="false" customWidth="true" hidden="false" outlineLevel="0" max="5" min="5" style="6" width="19.75"/>
    <col collapsed="false" customWidth="true" hidden="false" outlineLevel="0" max="6" min="6" style="6" width="10.5"/>
    <col collapsed="false" customWidth="true" hidden="false" outlineLevel="0" max="7" min="7" style="6" width="14.25"/>
    <col collapsed="false" customWidth="true" hidden="false" outlineLevel="0" max="8" min="8" style="6" width="6"/>
    <col collapsed="false" customWidth="true" hidden="false" outlineLevel="0" max="9" min="9" style="6" width="15.87"/>
    <col collapsed="false" customWidth="true" hidden="false" outlineLevel="1" max="10" min="10" style="6" width="6"/>
    <col collapsed="false" customWidth="true" hidden="false" outlineLevel="1" max="11" min="11" style="6" width="15.87"/>
    <col collapsed="false" customWidth="true" hidden="false" outlineLevel="1" max="12" min="12" style="6" width="6"/>
    <col collapsed="false" customWidth="true" hidden="false" outlineLevel="1" max="13" min="13" style="6" width="15.87"/>
    <col collapsed="false" customWidth="true" hidden="false" outlineLevel="1" max="14" min="14" style="6" width="6"/>
    <col collapsed="false" customWidth="true" hidden="false" outlineLevel="1" max="15" min="15" style="6" width="15.87"/>
    <col collapsed="false" customWidth="true" hidden="false" outlineLevel="1" max="16" min="16" style="6" width="6"/>
    <col collapsed="false" customWidth="true" hidden="false" outlineLevel="1" max="17" min="17" style="6" width="15.87"/>
    <col collapsed="false" customWidth="true" hidden="false" outlineLevel="0" max="19" min="18" style="6" width="3.38"/>
    <col collapsed="false" customWidth="true" hidden="false" outlineLevel="0" max="20" min="20" style="6" width="2.38"/>
    <col collapsed="false" customWidth="false" hidden="false" outlineLevel="0" max="26" min="21" style="6" width="8.74"/>
    <col collapsed="false" customWidth="true" hidden="false" outlineLevel="0" max="27" min="27" style="7" width="27.74"/>
    <col collapsed="false" customWidth="false" hidden="false" outlineLevel="0" max="1024" min="28" style="7" width="8.74"/>
  </cols>
  <sheetData>
    <row r="1" customFormat="false" ht="26.25" hidden="false" customHeight="false" outlineLevel="0" collapsed="false">
      <c r="B1" s="8" t="s">
        <v>136</v>
      </c>
      <c r="C1" s="8"/>
      <c r="D1" s="8"/>
      <c r="E1" s="8"/>
      <c r="F1" s="8"/>
      <c r="G1" s="8"/>
      <c r="H1" s="8"/>
      <c r="I1" s="8"/>
      <c r="J1" s="8"/>
      <c r="K1" s="8"/>
      <c r="L1" s="8"/>
      <c r="M1" s="8"/>
      <c r="N1" s="8"/>
      <c r="O1" s="8"/>
      <c r="P1" s="8"/>
      <c r="Q1" s="8"/>
      <c r="R1" s="8"/>
      <c r="S1" s="9"/>
      <c r="T1" s="9"/>
      <c r="U1" s="9"/>
      <c r="V1" s="9"/>
      <c r="W1" s="9"/>
      <c r="X1" s="9"/>
      <c r="Y1" s="9"/>
      <c r="Z1" s="9"/>
    </row>
    <row r="2" customFormat="false" ht="15" hidden="false" customHeight="true" outlineLevel="0" collapsed="false">
      <c r="B2" s="178"/>
      <c r="R2" s="15"/>
      <c r="S2" s="15"/>
      <c r="T2" s="15"/>
      <c r="U2" s="15"/>
      <c r="V2" s="15"/>
      <c r="W2" s="15"/>
      <c r="X2" s="15"/>
    </row>
    <row r="3" customFormat="false" ht="15" hidden="false" customHeight="true" outlineLevel="0" collapsed="false">
      <c r="B3" s="178"/>
      <c r="R3" s="15"/>
      <c r="S3" s="15"/>
      <c r="T3" s="15"/>
      <c r="U3" s="13" t="s">
        <v>137</v>
      </c>
      <c r="V3" s="13"/>
      <c r="W3" s="13"/>
      <c r="X3" s="13"/>
      <c r="Y3" s="13"/>
      <c r="Z3" s="13"/>
    </row>
    <row r="4" customFormat="false" ht="15" hidden="false" customHeight="true" outlineLevel="0" collapsed="false">
      <c r="B4" s="178"/>
      <c r="R4" s="15"/>
      <c r="S4" s="15"/>
      <c r="T4" s="15"/>
      <c r="U4" s="13"/>
      <c r="V4" s="13"/>
      <c r="W4" s="13"/>
      <c r="X4" s="13"/>
      <c r="Y4" s="13"/>
      <c r="Z4" s="13"/>
    </row>
    <row r="5" customFormat="false" ht="15" hidden="false" customHeight="true" outlineLevel="0" collapsed="false">
      <c r="B5" s="178"/>
      <c r="R5" s="15"/>
      <c r="S5" s="15"/>
      <c r="T5" s="15"/>
      <c r="U5" s="13"/>
      <c r="V5" s="13"/>
      <c r="W5" s="13"/>
      <c r="X5" s="13"/>
      <c r="Y5" s="13"/>
      <c r="Z5" s="13"/>
    </row>
    <row r="6" customFormat="false" ht="12" hidden="false" customHeight="true" outlineLevel="0" collapsed="false">
      <c r="B6" s="179" t="s">
        <v>138</v>
      </c>
      <c r="C6" s="179"/>
      <c r="D6" s="179"/>
      <c r="E6" s="179"/>
      <c r="F6" s="179"/>
      <c r="G6" s="179"/>
      <c r="H6" s="179"/>
      <c r="I6" s="179"/>
      <c r="J6" s="179"/>
      <c r="K6" s="179"/>
      <c r="L6" s="179"/>
      <c r="M6" s="179"/>
      <c r="N6" s="179"/>
      <c r="O6" s="179"/>
      <c r="P6" s="179"/>
      <c r="Q6" s="179"/>
      <c r="R6" s="179"/>
      <c r="S6" s="180"/>
      <c r="T6" s="15"/>
      <c r="U6" s="13"/>
      <c r="V6" s="13"/>
      <c r="W6" s="13"/>
      <c r="X6" s="13"/>
      <c r="Y6" s="13"/>
      <c r="Z6" s="13"/>
    </row>
    <row r="7" customFormat="false" ht="12" hidden="false" customHeight="true" outlineLevel="0" collapsed="false">
      <c r="B7" s="179"/>
      <c r="C7" s="179"/>
      <c r="D7" s="179"/>
      <c r="E7" s="179"/>
      <c r="F7" s="179"/>
      <c r="G7" s="179"/>
      <c r="H7" s="179"/>
      <c r="I7" s="179"/>
      <c r="J7" s="179"/>
      <c r="K7" s="179"/>
      <c r="L7" s="179"/>
      <c r="M7" s="179"/>
      <c r="N7" s="179"/>
      <c r="O7" s="179"/>
      <c r="P7" s="179"/>
      <c r="Q7" s="179"/>
      <c r="R7" s="179"/>
      <c r="S7" s="180"/>
      <c r="T7" s="15"/>
      <c r="U7" s="13"/>
      <c r="V7" s="13"/>
      <c r="W7" s="13"/>
      <c r="X7" s="13"/>
      <c r="Y7" s="13"/>
      <c r="Z7" s="13"/>
    </row>
    <row r="8" customFormat="false" ht="12" hidden="false" customHeight="true" outlineLevel="0" collapsed="false">
      <c r="B8" s="179"/>
      <c r="C8" s="179"/>
      <c r="D8" s="179"/>
      <c r="E8" s="179"/>
      <c r="F8" s="179"/>
      <c r="G8" s="179"/>
      <c r="H8" s="179"/>
      <c r="I8" s="179"/>
      <c r="J8" s="179"/>
      <c r="K8" s="179"/>
      <c r="L8" s="179"/>
      <c r="M8" s="179"/>
      <c r="N8" s="179"/>
      <c r="O8" s="179"/>
      <c r="P8" s="179"/>
      <c r="Q8" s="179"/>
      <c r="R8" s="179"/>
      <c r="S8" s="180"/>
      <c r="T8" s="15"/>
      <c r="U8" s="13"/>
      <c r="V8" s="13"/>
      <c r="W8" s="13"/>
      <c r="X8" s="13"/>
      <c r="Y8" s="13"/>
      <c r="Z8" s="13"/>
    </row>
    <row r="9" customFormat="false" ht="12" hidden="false" customHeight="true" outlineLevel="0" collapsed="false">
      <c r="B9" s="179"/>
      <c r="C9" s="179"/>
      <c r="D9" s="179"/>
      <c r="E9" s="179"/>
      <c r="F9" s="179"/>
      <c r="G9" s="179"/>
      <c r="H9" s="179"/>
      <c r="I9" s="179"/>
      <c r="J9" s="179"/>
      <c r="K9" s="179"/>
      <c r="L9" s="179"/>
      <c r="M9" s="179"/>
      <c r="N9" s="179"/>
      <c r="O9" s="179"/>
      <c r="P9" s="179"/>
      <c r="Q9" s="179"/>
      <c r="R9" s="179"/>
      <c r="S9" s="180"/>
      <c r="T9" s="15"/>
      <c r="U9" s="13"/>
      <c r="V9" s="13"/>
      <c r="W9" s="13"/>
      <c r="X9" s="13"/>
      <c r="Y9" s="13"/>
      <c r="Z9" s="13"/>
    </row>
    <row r="10" customFormat="false" ht="12" hidden="false" customHeight="true" outlineLevel="0" collapsed="false">
      <c r="B10" s="179"/>
      <c r="C10" s="179"/>
      <c r="D10" s="179"/>
      <c r="E10" s="179"/>
      <c r="F10" s="179"/>
      <c r="G10" s="179"/>
      <c r="H10" s="179"/>
      <c r="I10" s="179"/>
      <c r="J10" s="179"/>
      <c r="K10" s="179"/>
      <c r="L10" s="179"/>
      <c r="M10" s="179"/>
      <c r="N10" s="179"/>
      <c r="O10" s="179"/>
      <c r="P10" s="179"/>
      <c r="Q10" s="179"/>
      <c r="R10" s="179"/>
      <c r="S10" s="180"/>
      <c r="T10" s="15"/>
      <c r="U10" s="13"/>
      <c r="V10" s="13"/>
      <c r="W10" s="13"/>
      <c r="X10" s="13"/>
      <c r="Y10" s="13"/>
      <c r="Z10" s="13"/>
    </row>
    <row r="11" customFormat="false" ht="12" hidden="false" customHeight="true" outlineLevel="0" collapsed="false">
      <c r="B11" s="179"/>
      <c r="C11" s="179"/>
      <c r="D11" s="179"/>
      <c r="E11" s="179"/>
      <c r="F11" s="179"/>
      <c r="G11" s="179"/>
      <c r="H11" s="179"/>
      <c r="I11" s="179"/>
      <c r="J11" s="179"/>
      <c r="K11" s="179"/>
      <c r="L11" s="179"/>
      <c r="M11" s="179"/>
      <c r="N11" s="179"/>
      <c r="O11" s="179"/>
      <c r="P11" s="179"/>
      <c r="Q11" s="179"/>
      <c r="R11" s="179"/>
      <c r="S11" s="180"/>
      <c r="T11" s="15"/>
      <c r="U11" s="13"/>
      <c r="V11" s="13"/>
      <c r="W11" s="13"/>
      <c r="X11" s="13"/>
      <c r="Y11" s="13"/>
      <c r="Z11" s="13"/>
    </row>
    <row r="12" customFormat="false" ht="12" hidden="false" customHeight="true" outlineLevel="0" collapsed="false">
      <c r="B12" s="179"/>
      <c r="C12" s="179"/>
      <c r="D12" s="179"/>
      <c r="E12" s="179"/>
      <c r="F12" s="179"/>
      <c r="G12" s="179"/>
      <c r="H12" s="179"/>
      <c r="I12" s="179"/>
      <c r="J12" s="179"/>
      <c r="K12" s="179"/>
      <c r="L12" s="179"/>
      <c r="M12" s="179"/>
      <c r="N12" s="179"/>
      <c r="O12" s="179"/>
      <c r="P12" s="179"/>
      <c r="Q12" s="179"/>
      <c r="R12" s="179"/>
      <c r="S12" s="180"/>
      <c r="T12" s="15"/>
      <c r="U12" s="13"/>
      <c r="V12" s="13"/>
      <c r="W12" s="13"/>
      <c r="X12" s="13"/>
      <c r="Y12" s="13"/>
      <c r="Z12" s="13"/>
    </row>
    <row r="13" customFormat="false" ht="12" hidden="false" customHeight="true" outlineLevel="0" collapsed="false">
      <c r="B13" s="179"/>
      <c r="C13" s="179"/>
      <c r="D13" s="179"/>
      <c r="E13" s="179"/>
      <c r="F13" s="179"/>
      <c r="G13" s="179"/>
      <c r="H13" s="179"/>
      <c r="I13" s="179"/>
      <c r="J13" s="179"/>
      <c r="K13" s="179"/>
      <c r="L13" s="179"/>
      <c r="M13" s="179"/>
      <c r="N13" s="179"/>
      <c r="O13" s="179"/>
      <c r="P13" s="179"/>
      <c r="Q13" s="179"/>
      <c r="R13" s="179"/>
      <c r="S13" s="180"/>
      <c r="T13" s="15"/>
      <c r="U13" s="13"/>
      <c r="V13" s="13"/>
      <c r="W13" s="13"/>
      <c r="X13" s="13"/>
      <c r="Y13" s="13"/>
      <c r="Z13" s="13"/>
    </row>
    <row r="14" customFormat="false" ht="12" hidden="false" customHeight="true" outlineLevel="0" collapsed="false">
      <c r="B14" s="179"/>
      <c r="C14" s="179"/>
      <c r="D14" s="179"/>
      <c r="E14" s="179"/>
      <c r="F14" s="179"/>
      <c r="G14" s="179"/>
      <c r="H14" s="179"/>
      <c r="I14" s="179"/>
      <c r="J14" s="179"/>
      <c r="K14" s="179"/>
      <c r="L14" s="179"/>
      <c r="M14" s="179"/>
      <c r="N14" s="179"/>
      <c r="O14" s="179"/>
      <c r="P14" s="179"/>
      <c r="Q14" s="179"/>
      <c r="R14" s="179"/>
      <c r="S14" s="180"/>
      <c r="T14" s="15"/>
      <c r="U14" s="13"/>
      <c r="V14" s="13"/>
      <c r="W14" s="13"/>
      <c r="X14" s="13"/>
      <c r="Y14" s="13"/>
      <c r="Z14" s="13"/>
    </row>
    <row r="15" customFormat="false" ht="12" hidden="false" customHeight="true" outlineLevel="0" collapsed="false">
      <c r="B15" s="179"/>
      <c r="C15" s="179"/>
      <c r="D15" s="179"/>
      <c r="E15" s="179"/>
      <c r="F15" s="179"/>
      <c r="G15" s="179"/>
      <c r="H15" s="179"/>
      <c r="I15" s="179"/>
      <c r="J15" s="179"/>
      <c r="K15" s="179"/>
      <c r="L15" s="179"/>
      <c r="M15" s="179"/>
      <c r="N15" s="179"/>
      <c r="O15" s="179"/>
      <c r="P15" s="179"/>
      <c r="Q15" s="179"/>
      <c r="R15" s="179"/>
      <c r="S15" s="180"/>
      <c r="T15" s="15"/>
      <c r="U15" s="13"/>
      <c r="V15" s="13"/>
      <c r="W15" s="13"/>
      <c r="X15" s="13"/>
      <c r="Y15" s="13"/>
      <c r="Z15" s="13"/>
    </row>
    <row r="16" customFormat="false" ht="11.45" hidden="false" customHeight="true" outlineLevel="0" collapsed="false">
      <c r="B16" s="179"/>
      <c r="C16" s="179"/>
      <c r="D16" s="179"/>
      <c r="E16" s="179"/>
      <c r="F16" s="179"/>
      <c r="G16" s="179"/>
      <c r="H16" s="179"/>
      <c r="I16" s="179"/>
      <c r="J16" s="179"/>
      <c r="K16" s="179"/>
      <c r="L16" s="179"/>
      <c r="M16" s="179"/>
      <c r="N16" s="179"/>
      <c r="O16" s="179"/>
      <c r="P16" s="179"/>
      <c r="Q16" s="179"/>
      <c r="R16" s="179"/>
      <c r="S16" s="180"/>
      <c r="T16" s="15"/>
      <c r="U16" s="13"/>
      <c r="V16" s="13"/>
      <c r="W16" s="13"/>
      <c r="X16" s="13"/>
      <c r="Y16" s="13"/>
      <c r="Z16" s="13"/>
    </row>
    <row r="17" customFormat="false" ht="11.45" hidden="false" customHeight="true" outlineLevel="0" collapsed="false">
      <c r="B17" s="179"/>
      <c r="C17" s="179"/>
      <c r="D17" s="179"/>
      <c r="E17" s="179"/>
      <c r="F17" s="179"/>
      <c r="G17" s="179"/>
      <c r="H17" s="179"/>
      <c r="I17" s="179"/>
      <c r="J17" s="179"/>
      <c r="K17" s="179"/>
      <c r="L17" s="179"/>
      <c r="M17" s="179"/>
      <c r="N17" s="179"/>
      <c r="O17" s="179"/>
      <c r="P17" s="179"/>
      <c r="Q17" s="179"/>
      <c r="R17" s="179"/>
      <c r="S17" s="180"/>
      <c r="T17" s="15"/>
      <c r="U17" s="13"/>
      <c r="V17" s="13"/>
      <c r="W17" s="13"/>
      <c r="X17" s="13"/>
      <c r="Y17" s="13"/>
      <c r="Z17" s="13"/>
    </row>
    <row r="18" customFormat="false" ht="11.45" hidden="false" customHeight="true" outlineLevel="0" collapsed="false">
      <c r="B18" s="179"/>
      <c r="C18" s="179"/>
      <c r="D18" s="179"/>
      <c r="E18" s="179"/>
      <c r="F18" s="179"/>
      <c r="G18" s="179"/>
      <c r="H18" s="179"/>
      <c r="I18" s="179"/>
      <c r="J18" s="179"/>
      <c r="K18" s="179"/>
      <c r="L18" s="179"/>
      <c r="M18" s="179"/>
      <c r="N18" s="179"/>
      <c r="O18" s="179"/>
      <c r="P18" s="179"/>
      <c r="Q18" s="179"/>
      <c r="R18" s="179"/>
      <c r="S18" s="180"/>
      <c r="T18" s="15"/>
      <c r="U18" s="13"/>
      <c r="V18" s="13"/>
      <c r="W18" s="13"/>
      <c r="X18" s="13"/>
      <c r="Y18" s="13"/>
      <c r="Z18" s="13"/>
    </row>
    <row r="19" customFormat="false" ht="11.45" hidden="false" customHeight="true" outlineLevel="0" collapsed="false">
      <c r="B19" s="179"/>
      <c r="C19" s="179"/>
      <c r="D19" s="179"/>
      <c r="E19" s="179"/>
      <c r="F19" s="179"/>
      <c r="G19" s="179"/>
      <c r="H19" s="179"/>
      <c r="I19" s="179"/>
      <c r="J19" s="179"/>
      <c r="K19" s="179"/>
      <c r="L19" s="179"/>
      <c r="M19" s="179"/>
      <c r="N19" s="179"/>
      <c r="O19" s="179"/>
      <c r="P19" s="179"/>
      <c r="Q19" s="179"/>
      <c r="R19" s="179"/>
      <c r="S19" s="180"/>
      <c r="T19" s="15"/>
      <c r="U19" s="13"/>
      <c r="V19" s="13"/>
      <c r="W19" s="13"/>
      <c r="X19" s="13"/>
      <c r="Y19" s="13"/>
      <c r="Z19" s="13"/>
    </row>
    <row r="20" customFormat="false" ht="11.45" hidden="false" customHeight="true" outlineLevel="0" collapsed="false">
      <c r="B20" s="179"/>
      <c r="C20" s="179"/>
      <c r="D20" s="179"/>
      <c r="E20" s="179"/>
      <c r="F20" s="179"/>
      <c r="G20" s="179"/>
      <c r="H20" s="179"/>
      <c r="I20" s="179"/>
      <c r="J20" s="179"/>
      <c r="K20" s="179"/>
      <c r="L20" s="179"/>
      <c r="M20" s="179"/>
      <c r="N20" s="179"/>
      <c r="O20" s="179"/>
      <c r="P20" s="179"/>
      <c r="Q20" s="179"/>
      <c r="R20" s="179"/>
      <c r="S20" s="180"/>
      <c r="T20" s="15"/>
      <c r="U20" s="13"/>
      <c r="V20" s="13"/>
      <c r="W20" s="13"/>
      <c r="X20" s="13"/>
      <c r="Y20" s="13"/>
      <c r="Z20" s="13"/>
    </row>
    <row r="21" customFormat="false" ht="12" hidden="false" customHeight="true" outlineLevel="0" collapsed="false">
      <c r="B21" s="179"/>
      <c r="C21" s="179"/>
      <c r="D21" s="179"/>
      <c r="E21" s="179"/>
      <c r="F21" s="179"/>
      <c r="G21" s="179"/>
      <c r="H21" s="179"/>
      <c r="I21" s="179"/>
      <c r="J21" s="179"/>
      <c r="K21" s="179"/>
      <c r="L21" s="179"/>
      <c r="M21" s="179"/>
      <c r="N21" s="179"/>
      <c r="O21" s="179"/>
      <c r="P21" s="179"/>
      <c r="Q21" s="179"/>
      <c r="R21" s="179"/>
      <c r="S21" s="180"/>
      <c r="T21" s="15"/>
      <c r="U21" s="13"/>
      <c r="V21" s="13"/>
      <c r="W21" s="13"/>
      <c r="X21" s="13"/>
      <c r="Y21" s="13"/>
      <c r="Z21" s="13"/>
    </row>
    <row r="22" customFormat="false" ht="12" hidden="false" customHeight="true" outlineLevel="0" collapsed="false">
      <c r="B22" s="181"/>
      <c r="C22" s="181"/>
      <c r="D22" s="181"/>
      <c r="E22" s="181"/>
      <c r="F22" s="181"/>
      <c r="G22" s="181"/>
      <c r="H22" s="181"/>
      <c r="I22" s="181"/>
      <c r="J22" s="181"/>
      <c r="K22" s="181"/>
      <c r="L22" s="181"/>
      <c r="M22" s="181"/>
      <c r="N22" s="181"/>
      <c r="O22" s="181"/>
      <c r="P22" s="181"/>
      <c r="Q22" s="181"/>
      <c r="R22" s="181"/>
      <c r="S22" s="180"/>
      <c r="T22" s="15"/>
      <c r="U22" s="13"/>
      <c r="V22" s="13"/>
      <c r="W22" s="13"/>
      <c r="X22" s="13"/>
      <c r="Y22" s="13"/>
      <c r="Z22" s="13"/>
    </row>
    <row r="23" customFormat="false" ht="15" hidden="false" customHeight="false" outlineLevel="0" collapsed="false">
      <c r="B23" s="182"/>
      <c r="C23" s="182"/>
      <c r="D23" s="182"/>
      <c r="E23" s="182"/>
      <c r="F23" s="182"/>
      <c r="G23" s="182"/>
      <c r="H23" s="182"/>
      <c r="I23" s="182"/>
      <c r="J23" s="182"/>
      <c r="K23" s="182"/>
      <c r="L23" s="182"/>
      <c r="M23" s="182"/>
      <c r="N23" s="182"/>
      <c r="O23" s="182"/>
      <c r="P23" s="182"/>
      <c r="Q23" s="182"/>
      <c r="R23" s="15"/>
      <c r="S23" s="15"/>
      <c r="T23" s="15"/>
      <c r="U23" s="13"/>
      <c r="V23" s="13"/>
      <c r="W23" s="13"/>
      <c r="X23" s="13"/>
      <c r="Y23" s="13"/>
      <c r="Z23" s="13"/>
    </row>
    <row r="24" customFormat="false" ht="12" hidden="false" customHeight="true" outlineLevel="0" collapsed="false">
      <c r="B24" s="19"/>
      <c r="R24" s="18"/>
      <c r="U24" s="13"/>
      <c r="V24" s="13"/>
      <c r="W24" s="13"/>
      <c r="X24" s="13"/>
      <c r="Y24" s="13"/>
      <c r="Z24" s="13"/>
    </row>
    <row r="25" customFormat="false" ht="12" hidden="false" customHeight="true" outlineLevel="0" collapsed="false">
      <c r="B25" s="19"/>
      <c r="R25" s="20"/>
      <c r="U25" s="24" t="s">
        <v>16</v>
      </c>
      <c r="V25" s="24"/>
      <c r="W25" s="24"/>
      <c r="X25" s="24"/>
      <c r="Y25" s="24"/>
      <c r="Z25" s="24"/>
    </row>
    <row r="26" customFormat="false" ht="17.45" hidden="false" customHeight="true" outlineLevel="0" collapsed="false">
      <c r="B26" s="19"/>
      <c r="C26" s="21" t="s">
        <v>15</v>
      </c>
      <c r="D26" s="22"/>
      <c r="E26" s="22"/>
      <c r="F26" s="22"/>
      <c r="G26" s="22"/>
      <c r="H26" s="22"/>
      <c r="I26" s="22"/>
      <c r="J26" s="22"/>
      <c r="K26" s="22"/>
      <c r="L26" s="22"/>
      <c r="M26" s="22"/>
      <c r="N26" s="22"/>
      <c r="O26" s="22"/>
      <c r="P26" s="22"/>
      <c r="Q26" s="23"/>
      <c r="R26" s="20"/>
      <c r="U26" s="24"/>
      <c r="V26" s="24"/>
      <c r="W26" s="24"/>
      <c r="X26" s="24"/>
      <c r="Y26" s="24"/>
      <c r="Z26" s="24"/>
    </row>
    <row r="27" customFormat="false" ht="12" hidden="false" customHeight="true" outlineLevel="0" collapsed="false">
      <c r="B27" s="19"/>
      <c r="C27" s="25"/>
      <c r="Q27" s="26"/>
      <c r="R27" s="20"/>
      <c r="U27" s="24"/>
      <c r="V27" s="24"/>
      <c r="W27" s="24"/>
      <c r="X27" s="24"/>
      <c r="Y27" s="24"/>
      <c r="Z27" s="24"/>
      <c r="AA27" s="183"/>
    </row>
    <row r="28" customFormat="false" ht="12" hidden="false" customHeight="true" outlineLevel="0" collapsed="false">
      <c r="B28" s="19"/>
      <c r="C28" s="184" t="s">
        <v>17</v>
      </c>
      <c r="D28" s="28" t="s">
        <v>139</v>
      </c>
      <c r="Q28" s="26"/>
      <c r="R28" s="20"/>
      <c r="U28" s="24"/>
      <c r="V28" s="24"/>
      <c r="W28" s="24"/>
      <c r="X28" s="24"/>
      <c r="Y28" s="24"/>
      <c r="Z28" s="24"/>
    </row>
    <row r="29" customFormat="false" ht="12" hidden="false" customHeight="true" outlineLevel="0" collapsed="false">
      <c r="B29" s="19"/>
      <c r="C29" s="27" t="s">
        <v>140</v>
      </c>
      <c r="D29" s="185" t="n">
        <v>2023</v>
      </c>
      <c r="E29" s="32"/>
      <c r="Q29" s="26"/>
      <c r="R29" s="20"/>
      <c r="U29" s="24"/>
      <c r="V29" s="24"/>
      <c r="W29" s="24"/>
      <c r="X29" s="24"/>
      <c r="Y29" s="24"/>
      <c r="Z29" s="24"/>
    </row>
    <row r="30" customFormat="false" ht="12" hidden="false" customHeight="true" outlineLevel="0" collapsed="false">
      <c r="B30" s="19"/>
      <c r="C30" s="27" t="s">
        <v>141</v>
      </c>
      <c r="D30" s="28" t="n">
        <v>2023</v>
      </c>
      <c r="E30" s="28" t="s">
        <v>0</v>
      </c>
      <c r="Q30" s="26"/>
      <c r="R30" s="20"/>
      <c r="U30" s="24"/>
      <c r="V30" s="24"/>
      <c r="W30" s="24"/>
      <c r="X30" s="24"/>
      <c r="Y30" s="24"/>
      <c r="Z30" s="24"/>
    </row>
    <row r="31" customFormat="false" ht="12" hidden="false" customHeight="true" outlineLevel="0" collapsed="false">
      <c r="B31" s="19"/>
      <c r="C31" s="27" t="s">
        <v>142</v>
      </c>
      <c r="D31" s="28"/>
      <c r="E31" s="28"/>
      <c r="Q31" s="26"/>
      <c r="R31" s="20"/>
      <c r="U31" s="24"/>
      <c r="V31" s="24"/>
      <c r="W31" s="24"/>
      <c r="X31" s="24"/>
      <c r="Y31" s="24"/>
      <c r="Z31" s="24"/>
    </row>
    <row r="32" customFormat="false" ht="12" hidden="false" customHeight="true" outlineLevel="0" collapsed="false">
      <c r="B32" s="19"/>
      <c r="C32" s="27" t="s">
        <v>143</v>
      </c>
      <c r="D32" s="33" t="s">
        <v>144</v>
      </c>
      <c r="E32" s="33"/>
      <c r="Q32" s="26"/>
      <c r="R32" s="20"/>
      <c r="U32" s="24"/>
      <c r="V32" s="24"/>
      <c r="W32" s="24"/>
      <c r="X32" s="24"/>
      <c r="Y32" s="24"/>
      <c r="Z32" s="24"/>
    </row>
    <row r="33" customFormat="false" ht="12" hidden="false" customHeight="true" outlineLevel="0" collapsed="false">
      <c r="B33" s="19"/>
      <c r="C33" s="184" t="s">
        <v>23</v>
      </c>
      <c r="D33" s="33" t="s">
        <v>122</v>
      </c>
      <c r="E33" s="33"/>
      <c r="Q33" s="26"/>
      <c r="R33" s="20"/>
      <c r="U33" s="24"/>
      <c r="V33" s="24"/>
      <c r="W33" s="24"/>
      <c r="X33" s="24"/>
      <c r="Y33" s="24"/>
      <c r="Z33" s="24"/>
    </row>
    <row r="34" customFormat="false" ht="12" hidden="false" customHeight="true" outlineLevel="0" collapsed="false">
      <c r="B34" s="19"/>
      <c r="C34" s="27" t="s">
        <v>145</v>
      </c>
      <c r="D34" s="33"/>
      <c r="E34" s="33"/>
      <c r="Q34" s="26"/>
      <c r="R34" s="20"/>
      <c r="U34" s="24"/>
      <c r="V34" s="24"/>
      <c r="W34" s="24"/>
      <c r="X34" s="24"/>
      <c r="Y34" s="24"/>
      <c r="Z34" s="24"/>
    </row>
    <row r="35" customFormat="false" ht="12" hidden="false" customHeight="true" outlineLevel="0" collapsed="false">
      <c r="B35" s="19"/>
      <c r="C35" s="186"/>
      <c r="D35" s="187"/>
      <c r="E35" s="188"/>
      <c r="F35" s="35"/>
      <c r="G35" s="35"/>
      <c r="H35" s="35"/>
      <c r="I35" s="35"/>
      <c r="J35" s="35"/>
      <c r="K35" s="35"/>
      <c r="L35" s="35"/>
      <c r="M35" s="35"/>
      <c r="N35" s="35"/>
      <c r="O35" s="35"/>
      <c r="P35" s="35"/>
      <c r="Q35" s="36"/>
      <c r="R35" s="20"/>
      <c r="U35" s="24"/>
      <c r="V35" s="24"/>
      <c r="W35" s="24"/>
      <c r="X35" s="24"/>
      <c r="Y35" s="24"/>
      <c r="Z35" s="24"/>
    </row>
    <row r="36" customFormat="false" ht="12" hidden="false" customHeight="true" outlineLevel="0" collapsed="false">
      <c r="B36" s="19"/>
      <c r="C36" s="189"/>
      <c r="D36" s="189"/>
      <c r="E36" s="190"/>
      <c r="R36" s="20"/>
      <c r="U36" s="24"/>
      <c r="V36" s="24"/>
      <c r="W36" s="24"/>
      <c r="X36" s="24"/>
      <c r="Y36" s="24"/>
      <c r="Z36" s="24"/>
    </row>
    <row r="37" customFormat="false" ht="12" hidden="false" customHeight="true" outlineLevel="0" collapsed="false">
      <c r="B37" s="19"/>
      <c r="R37" s="20"/>
      <c r="U37" s="24"/>
      <c r="V37" s="24"/>
      <c r="W37" s="24"/>
      <c r="X37" s="24"/>
      <c r="Y37" s="24"/>
      <c r="Z37" s="24"/>
    </row>
    <row r="38" customFormat="false" ht="18" hidden="false" customHeight="false" outlineLevel="0" collapsed="false">
      <c r="B38" s="19"/>
      <c r="C38" s="21" t="str">
        <f aca="false">"PROJEKTKOSTNADER"&amp;" - "&amp;LEFT($B$1,(LEN($B$1)-41))</f>
        <v>PROJEKTKOSTNADER - BIDRAG</v>
      </c>
      <c r="D38" s="22"/>
      <c r="E38" s="22"/>
      <c r="F38" s="22"/>
      <c r="G38" s="22"/>
      <c r="H38" s="22"/>
      <c r="I38" s="22"/>
      <c r="J38" s="22"/>
      <c r="K38" s="22"/>
      <c r="L38" s="22"/>
      <c r="M38" s="22"/>
      <c r="N38" s="22"/>
      <c r="O38" s="22"/>
      <c r="P38" s="22"/>
      <c r="Q38" s="23"/>
      <c r="R38" s="20"/>
      <c r="U38" s="24"/>
      <c r="V38" s="24"/>
      <c r="W38" s="24"/>
      <c r="X38" s="24"/>
      <c r="Y38" s="24"/>
      <c r="Z38" s="24"/>
    </row>
    <row r="39" customFormat="false" ht="12" hidden="false" customHeight="false" outlineLevel="0" collapsed="false">
      <c r="B39" s="19"/>
      <c r="C39" s="25"/>
      <c r="Q39" s="26"/>
      <c r="R39" s="20"/>
      <c r="U39" s="24"/>
      <c r="V39" s="24"/>
      <c r="W39" s="24"/>
      <c r="X39" s="24"/>
      <c r="Y39" s="24"/>
      <c r="Z39" s="24"/>
    </row>
    <row r="40" customFormat="false" ht="15" hidden="false" customHeight="false" outlineLevel="0" collapsed="false">
      <c r="B40" s="19"/>
      <c r="C40" s="41" t="s">
        <v>146</v>
      </c>
      <c r="H40" s="42" t="n">
        <f aca="false">IF($D$30="","",IF($D$29&gt;$D$30,"Fel i grundläggande uppgifter",$D$30))</f>
        <v>2023</v>
      </c>
      <c r="I40" s="42"/>
      <c r="J40" s="42" t="n">
        <f aca="false">IFERROR(H40+1,"")</f>
        <v>2024</v>
      </c>
      <c r="K40" s="42"/>
      <c r="L40" s="42" t="n">
        <f aca="false">IFERROR(J40+1,"")</f>
        <v>2025</v>
      </c>
      <c r="M40" s="42"/>
      <c r="N40" s="42" t="n">
        <f aca="false">IFERROR(L40+1,"")</f>
        <v>2026</v>
      </c>
      <c r="O40" s="42"/>
      <c r="P40" s="191" t="n">
        <f aca="false">IFERROR(N40+1,"")</f>
        <v>2027</v>
      </c>
      <c r="Q40" s="191"/>
      <c r="R40" s="20"/>
      <c r="U40" s="192"/>
      <c r="V40" s="193"/>
      <c r="W40" s="193"/>
      <c r="X40" s="193"/>
      <c r="Y40" s="193"/>
      <c r="Z40" s="194"/>
    </row>
    <row r="41" customFormat="false" ht="12.75" hidden="false" customHeight="false" outlineLevel="1" collapsed="false">
      <c r="B41" s="19"/>
      <c r="C41" s="72" t="s">
        <v>147</v>
      </c>
      <c r="D41" s="189"/>
      <c r="E41" s="189"/>
      <c r="F41" s="85"/>
      <c r="G41" s="85"/>
      <c r="Q41" s="26"/>
      <c r="R41" s="20"/>
      <c r="U41" s="192"/>
      <c r="V41" s="193"/>
      <c r="W41" s="193"/>
      <c r="X41" s="193"/>
      <c r="Y41" s="193"/>
      <c r="Z41" s="194"/>
    </row>
    <row r="42" customFormat="false" ht="12.75" hidden="false" customHeight="false" outlineLevel="2" collapsed="false">
      <c r="B42" s="19"/>
      <c r="C42" s="72"/>
      <c r="D42" s="189"/>
      <c r="E42" s="189"/>
      <c r="F42" s="85"/>
      <c r="G42" s="85"/>
      <c r="Q42" s="26"/>
      <c r="R42" s="20"/>
      <c r="U42" s="192"/>
      <c r="V42" s="193"/>
      <c r="W42" s="193"/>
      <c r="X42" s="193"/>
      <c r="Y42" s="193"/>
      <c r="Z42" s="194"/>
    </row>
    <row r="43" customFormat="false" ht="12" hidden="false" customHeight="false" outlineLevel="2" collapsed="false">
      <c r="B43" s="19"/>
      <c r="C43" s="195" t="s">
        <v>148</v>
      </c>
      <c r="D43" s="189"/>
      <c r="E43" s="189"/>
      <c r="F43" s="85"/>
      <c r="G43" s="85"/>
      <c r="Q43" s="26"/>
      <c r="R43" s="20"/>
      <c r="U43" s="192"/>
      <c r="V43" s="193"/>
      <c r="W43" s="193"/>
      <c r="X43" s="193"/>
      <c r="Y43" s="193"/>
      <c r="Z43" s="194"/>
    </row>
    <row r="44" s="74" customFormat="true" ht="11.25" hidden="false" customHeight="false" outlineLevel="2" collapsed="false">
      <c r="A44" s="15"/>
      <c r="B44" s="196"/>
      <c r="C44" s="73"/>
      <c r="H44" s="47" t="n">
        <f aca="false">IF($D$30="","",IF($D$29&gt;$D$30,"Fel i grunduppgifter",$D$30))</f>
        <v>2023</v>
      </c>
      <c r="I44" s="47"/>
      <c r="J44" s="47" t="n">
        <f aca="false">IFERROR(H44+1,"")</f>
        <v>2024</v>
      </c>
      <c r="K44" s="47"/>
      <c r="L44" s="47" t="n">
        <f aca="false">IFERROR(J44+1,"")</f>
        <v>2025</v>
      </c>
      <c r="M44" s="47"/>
      <c r="N44" s="47" t="n">
        <f aca="false">IFERROR(L44+1,"")</f>
        <v>2026</v>
      </c>
      <c r="O44" s="47"/>
      <c r="P44" s="48" t="n">
        <f aca="false">IFERROR(N44+1,"")</f>
        <v>2027</v>
      </c>
      <c r="Q44" s="48"/>
      <c r="R44" s="197"/>
      <c r="S44" s="15"/>
      <c r="T44" s="15"/>
      <c r="U44" s="198" t="s">
        <v>25</v>
      </c>
      <c r="V44" s="193"/>
      <c r="W44" s="193"/>
      <c r="X44" s="193"/>
      <c r="Y44" s="193"/>
      <c r="Z44" s="39"/>
    </row>
    <row r="45" customFormat="false" ht="12" hidden="false" customHeight="true" outlineLevel="2" collapsed="false">
      <c r="B45" s="19"/>
      <c r="C45" s="49" t="s">
        <v>149</v>
      </c>
      <c r="D45" s="50" t="s">
        <v>150</v>
      </c>
      <c r="E45" s="50"/>
      <c r="F45" s="50" t="s">
        <v>151</v>
      </c>
      <c r="G45" s="50" t="s">
        <v>152</v>
      </c>
      <c r="H45" s="52" t="s">
        <v>33</v>
      </c>
      <c r="I45" s="52" t="str">
        <f aca="false">IF($D$29=$D$30,"inkl. index 0%","inkl. index 0%")</f>
        <v>inkl. index 0%</v>
      </c>
      <c r="J45" s="52" t="s">
        <v>33</v>
      </c>
      <c r="K45" s="52" t="s">
        <v>66</v>
      </c>
      <c r="L45" s="52" t="s">
        <v>33</v>
      </c>
      <c r="M45" s="52" t="s">
        <v>66</v>
      </c>
      <c r="N45" s="52" t="s">
        <v>33</v>
      </c>
      <c r="O45" s="52" t="s">
        <v>66</v>
      </c>
      <c r="P45" s="52" t="s">
        <v>33</v>
      </c>
      <c r="Q45" s="75" t="s">
        <v>66</v>
      </c>
      <c r="R45" s="20"/>
      <c r="U45" s="199"/>
      <c r="V45" s="199"/>
      <c r="W45" s="199"/>
      <c r="X45" s="199"/>
      <c r="Y45" s="199"/>
      <c r="Z45" s="39"/>
    </row>
    <row r="46" customFormat="false" ht="12" hidden="false" customHeight="true" outlineLevel="2" collapsed="false">
      <c r="B46" s="19"/>
      <c r="C46" s="53" t="s">
        <v>153</v>
      </c>
      <c r="D46" s="33"/>
      <c r="E46" s="33"/>
      <c r="F46" s="54" t="n">
        <f aca="false">(H46+J46+L46+N46+P46)*1680</f>
        <v>0</v>
      </c>
      <c r="G46" s="200"/>
      <c r="H46" s="56"/>
      <c r="I46" s="54" t="n">
        <f aca="false">IFERROR(IF(OR($D$29="",$D$30=""),"År saknas",(($G46*12)*H46*((1+(MID(I$45,12,2))/100)^(H$44-$D$29)))),0)</f>
        <v>0</v>
      </c>
      <c r="J46" s="56"/>
      <c r="K46" s="54" t="n">
        <f aca="false">IFERROR(IF(OR($D$29="",$D$30=""),"År saknas",(($G46*12)*J46*((1+(MID(K$45,12,2))/100)^(J$44-$D$29)))),0)</f>
        <v>0</v>
      </c>
      <c r="L46" s="56"/>
      <c r="M46" s="54" t="n">
        <f aca="false">IFERROR(IF(OR($D$29="",$D$30=""),"År saknas",(($G46*12)*L46*((1+(MID(M$45,12,2))/100)^(L$44-$D$29)))),0)</f>
        <v>0</v>
      </c>
      <c r="N46" s="56"/>
      <c r="O46" s="54" t="n">
        <f aca="false">IFERROR(IF(OR($D$29="",$D$30=""),"År saknas",(($G46*12)*N46*((1+(MID(O$45,12,2))/100)^(N$44-$D$29)))),0)</f>
        <v>0</v>
      </c>
      <c r="P46" s="56"/>
      <c r="Q46" s="76" t="n">
        <f aca="false">IFERROR(IF(OR($D$29="",$D$30=""),"År saknas",(($G46*12)*P46*((1+(MID(Q$45,12,2))/100)^(P$44-$D$29)))),0)</f>
        <v>0</v>
      </c>
      <c r="R46" s="20"/>
      <c r="U46" s="201" t="s">
        <v>154</v>
      </c>
      <c r="V46" s="201"/>
      <c r="W46" s="201"/>
      <c r="X46" s="201"/>
      <c r="Y46" s="201"/>
      <c r="Z46" s="201"/>
    </row>
    <row r="47" customFormat="false" ht="12" hidden="false" customHeight="false" outlineLevel="2" collapsed="false">
      <c r="B47" s="19"/>
      <c r="C47" s="53"/>
      <c r="D47" s="202"/>
      <c r="E47" s="203"/>
      <c r="F47" s="54" t="n">
        <f aca="false">(H47+J47+L47+N47+P47)*1680</f>
        <v>0</v>
      </c>
      <c r="G47" s="55"/>
      <c r="H47" s="56"/>
      <c r="I47" s="54" t="n">
        <f aca="false">IFERROR(IF(OR($D$29="",$D$30=""),"År saknas",(($G47*12)*H47*((1+(MID(I$45,12,2))/100)^(H$44-$D$29)))),0)</f>
        <v>0</v>
      </c>
      <c r="J47" s="56"/>
      <c r="K47" s="54" t="n">
        <f aca="false">IFERROR(IF(OR($D$29="",$D$30=""),"År saknas",(($G47*12)*J47*((1+(MID(K$45,12,2))/100)^(J$44-$D$29)))),0)</f>
        <v>0</v>
      </c>
      <c r="L47" s="56"/>
      <c r="M47" s="54" t="n">
        <f aca="false">IFERROR(IF(OR($D$29="",$D$30=""),"År saknas",(($G47*12)*L47*((1+(MID(M$45,12,2))/100)^(L$44-$D$29)))),0)</f>
        <v>0</v>
      </c>
      <c r="N47" s="56"/>
      <c r="O47" s="54" t="n">
        <f aca="false">IFERROR(IF(OR($D$29="",$D$30=""),"År saknas",(($G47*12)*N47*((1+(MID(O$45,12,2))/100)^(N$44-$D$29)))),0)</f>
        <v>0</v>
      </c>
      <c r="P47" s="56"/>
      <c r="Q47" s="76" t="n">
        <f aca="false">IFERROR(IF(OR($D$29="",$D$30=""),"År saknas",(($G47*12)*P47*((1+(MID(Q$45,12,2))/100)^(P$44-$D$29)))),0)</f>
        <v>0</v>
      </c>
      <c r="R47" s="20"/>
      <c r="U47" s="201"/>
      <c r="V47" s="201"/>
      <c r="W47" s="201"/>
      <c r="X47" s="201"/>
      <c r="Y47" s="201"/>
      <c r="Z47" s="201"/>
    </row>
    <row r="48" customFormat="false" ht="12" hidden="false" customHeight="false" outlineLevel="2" collapsed="false">
      <c r="B48" s="19"/>
      <c r="C48" s="53"/>
      <c r="D48" s="202"/>
      <c r="E48" s="203"/>
      <c r="F48" s="54" t="n">
        <f aca="false">(H48+J48+L48+N48+P48)*1680</f>
        <v>0</v>
      </c>
      <c r="G48" s="55"/>
      <c r="H48" s="56"/>
      <c r="I48" s="54" t="n">
        <f aca="false">IFERROR(IF(OR($D$29="",$D$30=""),"År saknas",(($G48*12)*H48*((1+(MID(I$45,12,2))/100)^(H$44-$D$29)))),0)</f>
        <v>0</v>
      </c>
      <c r="J48" s="56"/>
      <c r="K48" s="54" t="n">
        <f aca="false">IFERROR(IF(OR($D$29="",$D$30=""),"År saknas",(($G48*12)*J48*((1+(MID(K$45,12,2))/100)^(J$44-$D$29)))),0)</f>
        <v>0</v>
      </c>
      <c r="L48" s="56"/>
      <c r="M48" s="54" t="n">
        <f aca="false">IFERROR(IF(OR($D$29="",$D$30=""),"År saknas",(($G48*12)*L48*((1+(MID(M$45,12,2))/100)^(L$44-$D$29)))),0)</f>
        <v>0</v>
      </c>
      <c r="N48" s="56"/>
      <c r="O48" s="54" t="n">
        <f aca="false">IFERROR(IF(OR($D$29="",$D$30=""),"År saknas",(($G48*12)*N48*((1+(MID(O$45,12,2))/100)^(N$44-$D$29)))),0)</f>
        <v>0</v>
      </c>
      <c r="P48" s="56"/>
      <c r="Q48" s="76" t="n">
        <f aca="false">IFERROR(IF(OR($D$29="",$D$30=""),"År saknas",(($G48*12)*P48*((1+(MID(Q$45,12,2))/100)^(P$44-$D$29)))),0)</f>
        <v>0</v>
      </c>
      <c r="R48" s="20"/>
      <c r="U48" s="201"/>
      <c r="V48" s="201"/>
      <c r="W48" s="201"/>
      <c r="X48" s="201"/>
      <c r="Y48" s="201"/>
      <c r="Z48" s="201"/>
    </row>
    <row r="49" customFormat="false" ht="12" hidden="false" customHeight="false" outlineLevel="2" collapsed="false">
      <c r="B49" s="19"/>
      <c r="C49" s="53"/>
      <c r="D49" s="33"/>
      <c r="E49" s="33"/>
      <c r="F49" s="54" t="n">
        <f aca="false">(H49+J49+L49+N49+P49)*1680</f>
        <v>0</v>
      </c>
      <c r="G49" s="55"/>
      <c r="H49" s="56"/>
      <c r="I49" s="54" t="n">
        <f aca="false">IFERROR(IF(OR($D$29="",$D$30=""),"År saknas",(($G49*12)*H49*((1+(MID(I$45,12,2))/100)^(H$44-$D$29)))),0)</f>
        <v>0</v>
      </c>
      <c r="J49" s="56"/>
      <c r="K49" s="54" t="n">
        <f aca="false">IFERROR(IF(OR($D$29="",$D$30=""),"År saknas",(($G49*12)*J49*((1+(MID(K$45,12,2))/100)^(J$44-$D$29)))),0)</f>
        <v>0</v>
      </c>
      <c r="L49" s="56"/>
      <c r="M49" s="54" t="n">
        <f aca="false">IFERROR(IF(OR($D$29="",$D$30=""),"År saknas",(($G49*12)*L49*((1+(MID(M$45,12,2))/100)^(L$44-$D$29)))),0)</f>
        <v>0</v>
      </c>
      <c r="N49" s="56"/>
      <c r="O49" s="54" t="n">
        <f aca="false">IFERROR(IF(OR($D$29="",$D$30=""),"År saknas",(($G49*12)*N49*((1+(MID(O$45,12,2))/100)^(N$44-$D$29)))),0)</f>
        <v>0</v>
      </c>
      <c r="P49" s="56"/>
      <c r="Q49" s="76" t="n">
        <f aca="false">IFERROR(IF(OR($D$29="",$D$30=""),"År saknas",(($G49*12)*P49*((1+(MID(Q$45,12,2))/100)^(P$44-$D$29)))),0)</f>
        <v>0</v>
      </c>
      <c r="R49" s="20"/>
      <c r="U49" s="201"/>
      <c r="V49" s="201"/>
      <c r="W49" s="201"/>
      <c r="X49" s="201"/>
      <c r="Y49" s="201"/>
      <c r="Z49" s="201"/>
    </row>
    <row r="50" customFormat="false" ht="12" hidden="false" customHeight="false" outlineLevel="2" collapsed="false">
      <c r="B50" s="19"/>
      <c r="C50" s="83"/>
      <c r="D50" s="189"/>
      <c r="E50" s="189"/>
      <c r="F50" s="85"/>
      <c r="G50" s="85"/>
      <c r="Q50" s="26"/>
      <c r="R50" s="20"/>
      <c r="U50" s="201"/>
      <c r="V50" s="201"/>
      <c r="W50" s="201"/>
      <c r="X50" s="201"/>
      <c r="Y50" s="201"/>
      <c r="Z50" s="201"/>
    </row>
    <row r="51" customFormat="false" ht="12" hidden="false" customHeight="false" outlineLevel="2" collapsed="false">
      <c r="B51" s="19"/>
      <c r="C51" s="195" t="s">
        <v>155</v>
      </c>
      <c r="D51" s="189"/>
      <c r="E51" s="189"/>
      <c r="F51" s="85"/>
      <c r="G51" s="85"/>
      <c r="Q51" s="26"/>
      <c r="R51" s="20"/>
      <c r="U51" s="201"/>
      <c r="V51" s="201"/>
      <c r="W51" s="201"/>
      <c r="X51" s="201"/>
      <c r="Y51" s="201"/>
      <c r="Z51" s="201"/>
    </row>
    <row r="52" s="74" customFormat="true" ht="11.25" hidden="false" customHeight="false" outlineLevel="2" collapsed="false">
      <c r="A52" s="15"/>
      <c r="B52" s="196"/>
      <c r="C52" s="73"/>
      <c r="H52" s="47" t="n">
        <f aca="false">IF($D$30="","",IF($D$29&gt;$D$30,"Fel i grunduppgifter",$D$30))</f>
        <v>2023</v>
      </c>
      <c r="I52" s="47"/>
      <c r="J52" s="47" t="n">
        <f aca="false">IFERROR(H52+1,"")</f>
        <v>2024</v>
      </c>
      <c r="K52" s="47"/>
      <c r="L52" s="47" t="n">
        <f aca="false">IFERROR(J52+1,"")</f>
        <v>2025</v>
      </c>
      <c r="M52" s="47"/>
      <c r="N52" s="47" t="n">
        <f aca="false">IFERROR(L52+1,"")</f>
        <v>2026</v>
      </c>
      <c r="O52" s="47"/>
      <c r="P52" s="48" t="n">
        <f aca="false">IFERROR(N52+1,"")</f>
        <v>2027</v>
      </c>
      <c r="Q52" s="48"/>
      <c r="R52" s="197"/>
      <c r="S52" s="15"/>
      <c r="T52" s="15"/>
      <c r="U52" s="201"/>
      <c r="V52" s="201"/>
      <c r="W52" s="201"/>
      <c r="X52" s="201"/>
      <c r="Y52" s="201"/>
      <c r="Z52" s="201"/>
    </row>
    <row r="53" s="74" customFormat="true" ht="11.25" hidden="false" customHeight="true" outlineLevel="2" collapsed="false">
      <c r="A53" s="15"/>
      <c r="B53" s="196"/>
      <c r="C53" s="49" t="s">
        <v>149</v>
      </c>
      <c r="D53" s="50" t="s">
        <v>150</v>
      </c>
      <c r="E53" s="50"/>
      <c r="F53" s="50" t="s">
        <v>151</v>
      </c>
      <c r="G53" s="50" t="s">
        <v>152</v>
      </c>
      <c r="H53" s="52" t="s">
        <v>33</v>
      </c>
      <c r="I53" s="52" t="str">
        <f aca="false">IF($D$29=$D$30,"inkl. index 0%","inkl. index 0%")</f>
        <v>inkl. index 0%</v>
      </c>
      <c r="J53" s="52" t="s">
        <v>33</v>
      </c>
      <c r="K53" s="52" t="s">
        <v>66</v>
      </c>
      <c r="L53" s="52" t="s">
        <v>33</v>
      </c>
      <c r="M53" s="52" t="s">
        <v>66</v>
      </c>
      <c r="N53" s="52" t="s">
        <v>33</v>
      </c>
      <c r="O53" s="52" t="s">
        <v>66</v>
      </c>
      <c r="P53" s="52" t="s">
        <v>33</v>
      </c>
      <c r="Q53" s="75" t="s">
        <v>66</v>
      </c>
      <c r="R53" s="197"/>
      <c r="S53" s="15"/>
      <c r="T53" s="15"/>
      <c r="U53" s="201"/>
      <c r="V53" s="201"/>
      <c r="W53" s="201"/>
      <c r="X53" s="201"/>
      <c r="Y53" s="201"/>
      <c r="Z53" s="201"/>
    </row>
    <row r="54" customFormat="false" ht="12" hidden="false" customHeight="false" outlineLevel="2" collapsed="false">
      <c r="B54" s="19"/>
      <c r="C54" s="53" t="s">
        <v>156</v>
      </c>
      <c r="D54" s="33"/>
      <c r="E54" s="33"/>
      <c r="F54" s="54" t="n">
        <f aca="false">(H54+J54+L54+N54+P54)*1680</f>
        <v>0</v>
      </c>
      <c r="G54" s="55"/>
      <c r="H54" s="56"/>
      <c r="I54" s="54" t="n">
        <f aca="false">IFERROR(IF(OR($D$29="",$D$30=""),"År saknas",(($G54*12)*H54*((1+(MID(I$53,12,2))/100)^(H$52-$D$29)))),0)</f>
        <v>0</v>
      </c>
      <c r="J54" s="56"/>
      <c r="K54" s="54" t="n">
        <f aca="false">IFERROR(IF(OR($D$29="",$D$30=""),"År saknas",(($G54*12)*J54*((1+(MID(K$53,12,2))/100)^(J$52-$D$29)))),0)</f>
        <v>0</v>
      </c>
      <c r="L54" s="56"/>
      <c r="M54" s="54" t="n">
        <f aca="false">IFERROR(IF(OR($D$29="",$D$30=""),"År saknas",(($G54*12)*L54*((1+(MID(M$53,12,2))/100)^(L$52-$D$29)))),0)</f>
        <v>0</v>
      </c>
      <c r="N54" s="56"/>
      <c r="O54" s="54" t="n">
        <f aca="false">IFERROR(IF(OR($D$29="",$D$30=""),"År saknas",(($G54*12)*N54*((1+(MID(O$53,12,2))/100)^(N$52-$D$29)))),0)</f>
        <v>0</v>
      </c>
      <c r="P54" s="56"/>
      <c r="Q54" s="76" t="n">
        <f aca="false">IFERROR(IF(OR($D$29="",$D$30=""),"År saknas",(($G54*12)*P54*((1+(MID(Q$53,12,2))/100)^(P$52-$D$29)))),0)</f>
        <v>0</v>
      </c>
      <c r="R54" s="20"/>
      <c r="U54" s="201"/>
      <c r="V54" s="201"/>
      <c r="W54" s="201"/>
      <c r="X54" s="201"/>
      <c r="Y54" s="201"/>
      <c r="Z54" s="201"/>
    </row>
    <row r="55" customFormat="false" ht="12" hidden="false" customHeight="false" outlineLevel="2" collapsed="false">
      <c r="B55" s="19"/>
      <c r="C55" s="53"/>
      <c r="D55" s="33"/>
      <c r="E55" s="33"/>
      <c r="F55" s="54" t="n">
        <f aca="false">(H55+J55+L55+N55+P55)*1680</f>
        <v>0</v>
      </c>
      <c r="G55" s="55"/>
      <c r="H55" s="56"/>
      <c r="I55" s="54" t="n">
        <f aca="false">IFERROR(IF(OR($D$29="",$D$30=""),"År saknas",(($G55*12)*H55*((1+(MID(I$53,12,2))/100)^(H$52-$D$29)))),0)</f>
        <v>0</v>
      </c>
      <c r="J55" s="56"/>
      <c r="K55" s="54" t="n">
        <f aca="false">IFERROR(IF(OR($D$29="",$D$30=""),"År saknas",(($G55*12)*J55*((1+(MID(K$53,12,2))/100)^(J$52-$D$29)))),0)</f>
        <v>0</v>
      </c>
      <c r="L55" s="56"/>
      <c r="M55" s="54" t="n">
        <f aca="false">IFERROR(IF(OR($D$29="",$D$30=""),"År saknas",(($G55*12)*L55*((1+(MID(M$53,12,2))/100)^(L$52-$D$29)))),0)</f>
        <v>0</v>
      </c>
      <c r="N55" s="56"/>
      <c r="O55" s="54" t="n">
        <f aca="false">IFERROR(IF(OR($D$29="",$D$30=""),"År saknas",(($G55*12)*N55*((1+(MID(O$53,12,2))/100)^(N$52-$D$29)))),0)</f>
        <v>0</v>
      </c>
      <c r="P55" s="56"/>
      <c r="Q55" s="76" t="n">
        <f aca="false">IFERROR(IF(OR($D$29="",$D$30=""),"År saknas",(($G55*12)*P55*((1+(MID(Q$53,12,2))/100)^(P$52-$D$29)))),0)</f>
        <v>0</v>
      </c>
      <c r="R55" s="20"/>
      <c r="U55" s="201"/>
      <c r="V55" s="201"/>
      <c r="W55" s="201"/>
      <c r="X55" s="201"/>
      <c r="Y55" s="201"/>
      <c r="Z55" s="201"/>
    </row>
    <row r="56" customFormat="false" ht="12" hidden="false" customHeight="false" outlineLevel="2" collapsed="false">
      <c r="B56" s="19"/>
      <c r="C56" s="83"/>
      <c r="D56" s="189"/>
      <c r="E56" s="189"/>
      <c r="F56" s="85"/>
      <c r="G56" s="85"/>
      <c r="H56" s="204"/>
      <c r="Q56" s="26"/>
      <c r="R56" s="20"/>
      <c r="U56" s="201"/>
      <c r="V56" s="201"/>
      <c r="W56" s="201"/>
      <c r="X56" s="201"/>
      <c r="Y56" s="201"/>
      <c r="Z56" s="201"/>
    </row>
    <row r="57" customFormat="false" ht="12" hidden="false" customHeight="false" outlineLevel="2" collapsed="false">
      <c r="B57" s="19"/>
      <c r="C57" s="195" t="s">
        <v>157</v>
      </c>
      <c r="D57" s="189"/>
      <c r="E57" s="189"/>
      <c r="F57" s="85"/>
      <c r="G57" s="85"/>
      <c r="Q57" s="26"/>
      <c r="R57" s="20"/>
      <c r="U57" s="201"/>
      <c r="V57" s="201"/>
      <c r="W57" s="201"/>
      <c r="X57" s="201"/>
      <c r="Y57" s="201"/>
      <c r="Z57" s="201"/>
    </row>
    <row r="58" s="74" customFormat="true" ht="11.25" hidden="false" customHeight="false" outlineLevel="2" collapsed="false">
      <c r="A58" s="15"/>
      <c r="B58" s="196"/>
      <c r="C58" s="73"/>
      <c r="H58" s="47" t="n">
        <f aca="false">IF($D$30="","",IF($D$29&gt;$D$30,"Fel i grunduppgifter",$D$30))</f>
        <v>2023</v>
      </c>
      <c r="I58" s="47"/>
      <c r="J58" s="47" t="n">
        <f aca="false">IFERROR(H58+1,"")</f>
        <v>2024</v>
      </c>
      <c r="K58" s="47"/>
      <c r="L58" s="47" t="n">
        <f aca="false">IFERROR(J58+1,"")</f>
        <v>2025</v>
      </c>
      <c r="M58" s="47"/>
      <c r="N58" s="47" t="n">
        <f aca="false">IFERROR(L58+1,"")</f>
        <v>2026</v>
      </c>
      <c r="O58" s="47"/>
      <c r="P58" s="48" t="n">
        <f aca="false">IFERROR(N58+1,"")</f>
        <v>2027</v>
      </c>
      <c r="Q58" s="48"/>
      <c r="R58" s="197"/>
      <c r="S58" s="15"/>
      <c r="T58" s="15"/>
      <c r="U58" s="201"/>
      <c r="V58" s="201"/>
      <c r="W58" s="201"/>
      <c r="X58" s="201"/>
      <c r="Y58" s="201"/>
      <c r="Z58" s="201"/>
    </row>
    <row r="59" s="74" customFormat="true" ht="11.25" hidden="false" customHeight="true" outlineLevel="2" collapsed="false">
      <c r="A59" s="15"/>
      <c r="B59" s="196"/>
      <c r="C59" s="49" t="s">
        <v>149</v>
      </c>
      <c r="D59" s="50" t="s">
        <v>150</v>
      </c>
      <c r="E59" s="50"/>
      <c r="F59" s="50" t="s">
        <v>151</v>
      </c>
      <c r="G59" s="50" t="s">
        <v>152</v>
      </c>
      <c r="H59" s="52" t="s">
        <v>33</v>
      </c>
      <c r="I59" s="52" t="str">
        <f aca="false">IF($D$29=$D$30,"inkl. index 0%","inkl. index 0%")</f>
        <v>inkl. index 0%</v>
      </c>
      <c r="J59" s="52" t="s">
        <v>33</v>
      </c>
      <c r="K59" s="52" t="s">
        <v>66</v>
      </c>
      <c r="L59" s="52" t="s">
        <v>33</v>
      </c>
      <c r="M59" s="52" t="s">
        <v>66</v>
      </c>
      <c r="N59" s="52" t="s">
        <v>33</v>
      </c>
      <c r="O59" s="52" t="s">
        <v>66</v>
      </c>
      <c r="P59" s="52" t="s">
        <v>33</v>
      </c>
      <c r="Q59" s="75" t="s">
        <v>66</v>
      </c>
      <c r="R59" s="197"/>
      <c r="S59" s="15"/>
      <c r="T59" s="15"/>
      <c r="U59" s="201"/>
      <c r="V59" s="201"/>
      <c r="W59" s="201"/>
      <c r="X59" s="201"/>
      <c r="Y59" s="201"/>
      <c r="Z59" s="201"/>
    </row>
    <row r="60" customFormat="false" ht="12" hidden="false" customHeight="false" outlineLevel="2" collapsed="false">
      <c r="B60" s="19"/>
      <c r="C60" s="53" t="s">
        <v>158</v>
      </c>
      <c r="D60" s="33"/>
      <c r="E60" s="33"/>
      <c r="F60" s="54" t="n">
        <f aca="false">(H60+J60+L60+N60+P60)*1680</f>
        <v>0</v>
      </c>
      <c r="G60" s="55"/>
      <c r="H60" s="56"/>
      <c r="I60" s="54" t="n">
        <f aca="false">IFERROR(IF(OR($D$29="",$D$30=""),"År saknas",(($G60*12)*H60*((1+(MID(I$59,12,2))/100)^(H$58-$D$29)))),0)</f>
        <v>0</v>
      </c>
      <c r="J60" s="56"/>
      <c r="K60" s="54" t="n">
        <f aca="false">IFERROR(IF(OR($D$29="",$D$30=""),"År saknas",(($G60*12)*J60*((1+(MID(K$59,12,2))/100)^(J$58-$D$29)))),0)</f>
        <v>0</v>
      </c>
      <c r="L60" s="56"/>
      <c r="M60" s="54" t="n">
        <f aca="false">IFERROR(IF(OR($D$29="",$D$30=""),"År saknas",(($G60*12)*L60*((1+(MID(M$59,12,2))/100)^(L$58-$D$29)))),0)</f>
        <v>0</v>
      </c>
      <c r="N60" s="56"/>
      <c r="O60" s="54" t="n">
        <f aca="false">IFERROR(IF(OR($D$29="",$D$30=""),"År saknas",(($G60*12)*N60*((1+(MID(O$59,12,2))/100)^(N$58-$D$29)))),0)</f>
        <v>0</v>
      </c>
      <c r="P60" s="56"/>
      <c r="Q60" s="76" t="n">
        <f aca="false">IFERROR(IF(OR($D$29="",$D$30=""),"År saknas",(($G60*12)*P60*((1+(MID(Q$59,12,2))/100)^(P$58-$D$29)))),0)</f>
        <v>0</v>
      </c>
      <c r="R60" s="20"/>
      <c r="U60" s="201"/>
      <c r="V60" s="201"/>
      <c r="W60" s="201"/>
      <c r="X60" s="201"/>
      <c r="Y60" s="201"/>
      <c r="Z60" s="201"/>
    </row>
    <row r="61" customFormat="false" ht="12" hidden="false" customHeight="false" outlineLevel="2" collapsed="false">
      <c r="B61" s="19"/>
      <c r="C61" s="53"/>
      <c r="D61" s="33"/>
      <c r="E61" s="33"/>
      <c r="F61" s="54" t="n">
        <f aca="false">(H61+J61+L61+N61+P61)*1680</f>
        <v>0</v>
      </c>
      <c r="G61" s="55"/>
      <c r="H61" s="56"/>
      <c r="I61" s="54" t="n">
        <f aca="false">IFERROR(IF(OR($D$29="",$D$30=""),"År saknas",(($G61*12)*H61*((1+(MID(I$59,12,2))/100)^(H$58-$D$29)))),0)</f>
        <v>0</v>
      </c>
      <c r="J61" s="56"/>
      <c r="K61" s="54" t="n">
        <f aca="false">IFERROR(IF(OR($D$29="",$D$30=""),"År saknas",(($G61*12)*J61*((1+(MID(K$59,12,2))/100)^(J$58-$D$29)))),0)</f>
        <v>0</v>
      </c>
      <c r="L61" s="56"/>
      <c r="M61" s="54" t="n">
        <f aca="false">IFERROR(IF(OR($D$29="",$D$30=""),"År saknas",(($G61*12)*L61*((1+(MID(M$59,12,2))/100)^(L$58-$D$29)))),0)</f>
        <v>0</v>
      </c>
      <c r="N61" s="56"/>
      <c r="O61" s="54" t="n">
        <f aca="false">IFERROR(IF(OR($D$29="",$D$30=""),"År saknas",(($G61*12)*N61*((1+(MID(O$59,12,2))/100)^(N$58-$D$29)))),0)</f>
        <v>0</v>
      </c>
      <c r="P61" s="56"/>
      <c r="Q61" s="76" t="n">
        <f aca="false">IFERROR(IF(OR($D$29="",$D$30=""),"År saknas",(($G61*12)*P61*((1+(MID(Q$59,12,2))/100)^(P$58-$D$29)))),0)</f>
        <v>0</v>
      </c>
      <c r="R61" s="20"/>
      <c r="U61" s="201"/>
      <c r="V61" s="201"/>
      <c r="W61" s="201"/>
      <c r="X61" s="201"/>
      <c r="Y61" s="201"/>
      <c r="Z61" s="201"/>
    </row>
    <row r="62" customFormat="false" ht="12" hidden="false" customHeight="false" outlineLevel="2" collapsed="false">
      <c r="B62" s="19"/>
      <c r="C62" s="83"/>
      <c r="D62" s="189"/>
      <c r="E62" s="189"/>
      <c r="F62" s="85"/>
      <c r="G62" s="85"/>
      <c r="H62" s="204"/>
      <c r="Q62" s="26"/>
      <c r="R62" s="20"/>
      <c r="U62" s="201"/>
      <c r="V62" s="201"/>
      <c r="W62" s="201"/>
      <c r="X62" s="201"/>
      <c r="Y62" s="201"/>
      <c r="Z62" s="201"/>
    </row>
    <row r="63" customFormat="false" ht="12" hidden="false" customHeight="false" outlineLevel="2" collapsed="false">
      <c r="B63" s="19"/>
      <c r="C63" s="195" t="s">
        <v>159</v>
      </c>
      <c r="Q63" s="26"/>
      <c r="R63" s="20"/>
      <c r="U63" s="201"/>
      <c r="V63" s="201"/>
      <c r="W63" s="201"/>
      <c r="X63" s="201"/>
      <c r="Y63" s="201"/>
      <c r="Z63" s="201"/>
    </row>
    <row r="64" s="74" customFormat="true" ht="11.25" hidden="false" customHeight="false" outlineLevel="2" collapsed="false">
      <c r="A64" s="15"/>
      <c r="B64" s="196"/>
      <c r="C64" s="73"/>
      <c r="H64" s="47" t="n">
        <f aca="false">IF($D$30="","",IF($D$29&gt;$D$30,"Fel i grunduppgifter",$D$30))</f>
        <v>2023</v>
      </c>
      <c r="I64" s="47"/>
      <c r="J64" s="47" t="n">
        <f aca="false">IFERROR(H64+1,"")</f>
        <v>2024</v>
      </c>
      <c r="K64" s="47"/>
      <c r="L64" s="47" t="n">
        <f aca="false">IFERROR(J64+1,"")</f>
        <v>2025</v>
      </c>
      <c r="M64" s="47"/>
      <c r="N64" s="47" t="n">
        <f aca="false">IFERROR(L64+1,"")</f>
        <v>2026</v>
      </c>
      <c r="O64" s="47"/>
      <c r="P64" s="48" t="n">
        <f aca="false">IFERROR(N64+1,"")</f>
        <v>2027</v>
      </c>
      <c r="Q64" s="48"/>
      <c r="R64" s="197"/>
      <c r="S64" s="15"/>
      <c r="T64" s="15"/>
      <c r="U64" s="201"/>
      <c r="V64" s="201"/>
      <c r="W64" s="201"/>
      <c r="X64" s="201"/>
      <c r="Y64" s="201"/>
      <c r="Z64" s="201"/>
    </row>
    <row r="65" s="74" customFormat="true" ht="11.25" hidden="false" customHeight="true" outlineLevel="2" collapsed="false">
      <c r="A65" s="15"/>
      <c r="B65" s="196"/>
      <c r="C65" s="49" t="s">
        <v>149</v>
      </c>
      <c r="D65" s="50" t="s">
        <v>150</v>
      </c>
      <c r="E65" s="50"/>
      <c r="F65" s="50" t="s">
        <v>151</v>
      </c>
      <c r="G65" s="50" t="s">
        <v>152</v>
      </c>
      <c r="H65" s="52" t="s">
        <v>33</v>
      </c>
      <c r="I65" s="52" t="str">
        <f aca="false">IF($D$29=$D$30,"inkl. index 0%","inkl. index 0%")</f>
        <v>inkl. index 0%</v>
      </c>
      <c r="J65" s="52" t="s">
        <v>33</v>
      </c>
      <c r="K65" s="52" t="s">
        <v>66</v>
      </c>
      <c r="L65" s="52" t="s">
        <v>33</v>
      </c>
      <c r="M65" s="52" t="s">
        <v>66</v>
      </c>
      <c r="N65" s="52" t="s">
        <v>33</v>
      </c>
      <c r="O65" s="52" t="s">
        <v>66</v>
      </c>
      <c r="P65" s="52" t="s">
        <v>33</v>
      </c>
      <c r="Q65" s="75" t="s">
        <v>66</v>
      </c>
      <c r="R65" s="197"/>
      <c r="S65" s="15"/>
      <c r="T65" s="15"/>
      <c r="U65" s="201"/>
      <c r="V65" s="201"/>
      <c r="W65" s="201"/>
      <c r="X65" s="201"/>
      <c r="Y65" s="201"/>
      <c r="Z65" s="201"/>
    </row>
    <row r="66" customFormat="false" ht="12" hidden="false" customHeight="false" outlineLevel="2" collapsed="false">
      <c r="B66" s="19"/>
      <c r="C66" s="53" t="s">
        <v>160</v>
      </c>
      <c r="D66" s="33"/>
      <c r="E66" s="33"/>
      <c r="F66" s="54" t="n">
        <f aca="false">(H66+J66+L66+N66+P66)*1680</f>
        <v>0</v>
      </c>
      <c r="G66" s="55"/>
      <c r="H66" s="56"/>
      <c r="I66" s="54" t="n">
        <f aca="false">IFERROR(IF(OR($D$29="",$D$30=""),"År saknas",(($G66*12)*H66*((1+(MID(I$65,12,2))/100)^(H$64-$D$29)))),0)</f>
        <v>0</v>
      </c>
      <c r="J66" s="56"/>
      <c r="K66" s="54" t="n">
        <f aca="false">IFERROR(IF(OR($D$29="",$D$30=""),"År saknas",(($G66*12)*J66*((1+(MID(K$65,12,2))/100)^(J$64-$D$29)))),0)</f>
        <v>0</v>
      </c>
      <c r="L66" s="56"/>
      <c r="M66" s="54" t="n">
        <f aca="false">IFERROR(IF(OR($D$29="",$D$30=""),"År saknas",(($G66*12)*L66*((1+(MID(M$65,12,2))/100)^(L$64-$D$29)))),0)</f>
        <v>0</v>
      </c>
      <c r="N66" s="56"/>
      <c r="O66" s="54" t="n">
        <f aca="false">IFERROR(IF(OR($D$29="",$D$30=""),"År saknas",(($G66*12)*N66*((1+(MID(O$65,12,2))/100)^(N$64-$D$29)))),0)</f>
        <v>0</v>
      </c>
      <c r="P66" s="56"/>
      <c r="Q66" s="76" t="n">
        <f aca="false">IFERROR(IF(OR($D$29="",$D$30=""),"År saknas",(($G66*12)*P66*((1+(MID(Q$65,12,2))/100)^(P$64-$D$29)))),0)</f>
        <v>0</v>
      </c>
      <c r="R66" s="20"/>
      <c r="U66" s="201"/>
      <c r="V66" s="201"/>
      <c r="W66" s="201"/>
      <c r="X66" s="201"/>
      <c r="Y66" s="201"/>
      <c r="Z66" s="201"/>
    </row>
    <row r="67" customFormat="false" ht="12" hidden="false" customHeight="false" outlineLevel="2" collapsed="false">
      <c r="B67" s="19"/>
      <c r="C67" s="53"/>
      <c r="D67" s="33"/>
      <c r="E67" s="33"/>
      <c r="F67" s="54" t="n">
        <f aca="false">(H67+J67+L67+N67+P67)*1680</f>
        <v>0</v>
      </c>
      <c r="G67" s="55"/>
      <c r="H67" s="56"/>
      <c r="I67" s="54" t="n">
        <f aca="false">IFERROR(IF(OR($D$29="",$D$30=""),"År saknas",(($G67*12)*H67*((1+(MID(I$65,12,2))/100)^(H$64-$D$29)))),0)</f>
        <v>0</v>
      </c>
      <c r="J67" s="56"/>
      <c r="K67" s="54" t="n">
        <f aca="false">IFERROR(IF(OR($D$29="",$D$30=""),"År saknas",(($G67*12)*J67*((1+(MID(K$65,12,2))/100)^(J$64-$D$29)))),0)</f>
        <v>0</v>
      </c>
      <c r="L67" s="56"/>
      <c r="M67" s="54" t="n">
        <f aca="false">IFERROR(IF(OR($D$29="",$D$30=""),"År saknas",(($G67*12)*L67*((1+(MID(M$65,12,2))/100)^(L$64-$D$29)))),0)</f>
        <v>0</v>
      </c>
      <c r="N67" s="56"/>
      <c r="O67" s="54" t="n">
        <f aca="false">IFERROR(IF(OR($D$29="",$D$30=""),"År saknas",(($G67*12)*N67*((1+(MID(O$65,12,2))/100)^(N$64-$D$29)))),0)</f>
        <v>0</v>
      </c>
      <c r="P67" s="56"/>
      <c r="Q67" s="76" t="n">
        <f aca="false">IFERROR(IF(OR($D$29="",$D$30=""),"År saknas",(($G67*12)*P67*((1+(MID(Q$65,12,2))/100)^(P$64-$D$29)))),0)</f>
        <v>0</v>
      </c>
      <c r="R67" s="20"/>
      <c r="U67" s="201"/>
      <c r="V67" s="201"/>
      <c r="W67" s="201"/>
      <c r="X67" s="201"/>
      <c r="Y67" s="201"/>
      <c r="Z67" s="201"/>
    </row>
    <row r="68" customFormat="false" ht="12" hidden="false" customHeight="false" outlineLevel="2" collapsed="false">
      <c r="B68" s="19"/>
      <c r="C68" s="25"/>
      <c r="Q68" s="26"/>
      <c r="R68" s="20"/>
      <c r="U68" s="192"/>
      <c r="V68" s="193"/>
      <c r="W68" s="193"/>
      <c r="X68" s="193"/>
      <c r="Y68" s="193"/>
      <c r="Z68" s="194"/>
    </row>
    <row r="69" customFormat="false" ht="13.9" hidden="false" customHeight="true" outlineLevel="1" collapsed="false">
      <c r="B69" s="19"/>
      <c r="C69" s="205" t="s">
        <v>161</v>
      </c>
      <c r="D69" s="205"/>
      <c r="E69" s="205"/>
      <c r="F69" s="59" t="n">
        <f aca="false">SUM(F$46:F67)</f>
        <v>0</v>
      </c>
      <c r="G69" s="206"/>
      <c r="H69" s="60" t="n">
        <f aca="false">SUM(I$46:I67)</f>
        <v>0</v>
      </c>
      <c r="I69" s="60"/>
      <c r="J69" s="60" t="n">
        <f aca="false">SUM(K$46:K67)</f>
        <v>0</v>
      </c>
      <c r="K69" s="60"/>
      <c r="L69" s="60" t="n">
        <f aca="false">SUM(M$46:M67)</f>
        <v>0</v>
      </c>
      <c r="M69" s="60"/>
      <c r="N69" s="60" t="n">
        <f aca="false">SUM(O$46:O67)</f>
        <v>0</v>
      </c>
      <c r="O69" s="60"/>
      <c r="P69" s="61" t="n">
        <f aca="false">SUM(Q$46:Q67)</f>
        <v>0</v>
      </c>
      <c r="Q69" s="61"/>
      <c r="R69" s="20"/>
      <c r="U69" s="192"/>
      <c r="V69" s="193"/>
      <c r="W69" s="193"/>
      <c r="X69" s="193"/>
      <c r="Y69" s="193"/>
      <c r="Z69" s="194"/>
    </row>
    <row r="70" customFormat="false" ht="12" hidden="false" customHeight="false" outlineLevel="1" collapsed="false">
      <c r="B70" s="19"/>
      <c r="C70" s="25"/>
      <c r="Q70" s="26"/>
      <c r="R70" s="20"/>
      <c r="U70" s="192"/>
      <c r="V70" s="193"/>
      <c r="W70" s="193"/>
      <c r="X70" s="193"/>
      <c r="Y70" s="193"/>
      <c r="Z70" s="194"/>
    </row>
    <row r="71" customFormat="false" ht="13.9" hidden="false" customHeight="true" outlineLevel="2" collapsed="false">
      <c r="B71" s="19"/>
      <c r="C71" s="207" t="s">
        <v>162</v>
      </c>
      <c r="D71" s="207"/>
      <c r="E71" s="207"/>
      <c r="F71" s="207"/>
      <c r="G71" s="63" t="n">
        <v>0.5511</v>
      </c>
      <c r="Q71" s="26"/>
      <c r="R71" s="20"/>
      <c r="U71" s="208" t="s">
        <v>163</v>
      </c>
      <c r="V71" s="208"/>
      <c r="W71" s="208"/>
      <c r="X71" s="208"/>
      <c r="Y71" s="208"/>
      <c r="Z71" s="208"/>
    </row>
    <row r="72" customFormat="false" ht="14.25" hidden="false" customHeight="false" outlineLevel="2" collapsed="false">
      <c r="B72" s="19"/>
      <c r="C72" s="207" t="s">
        <v>164</v>
      </c>
      <c r="D72" s="207"/>
      <c r="E72" s="207"/>
      <c r="F72" s="207"/>
      <c r="G72" s="63" t="n">
        <v>0.0185</v>
      </c>
      <c r="Q72" s="26"/>
      <c r="R72" s="20"/>
      <c r="U72" s="208"/>
      <c r="V72" s="208"/>
      <c r="W72" s="208"/>
      <c r="X72" s="208"/>
      <c r="Y72" s="208"/>
      <c r="Z72" s="208"/>
    </row>
    <row r="73" customFormat="false" ht="12" hidden="false" customHeight="false" outlineLevel="1" collapsed="false">
      <c r="B73" s="19"/>
      <c r="C73" s="25"/>
      <c r="F73" s="64" t="s">
        <v>39</v>
      </c>
      <c r="G73" s="65" t="n">
        <f aca="false">SUM(G71:G72)</f>
        <v>0.5696</v>
      </c>
      <c r="Q73" s="26"/>
      <c r="R73" s="20"/>
      <c r="U73" s="208"/>
      <c r="V73" s="208"/>
      <c r="W73" s="208"/>
      <c r="X73" s="208"/>
      <c r="Y73" s="208"/>
      <c r="Z73" s="208"/>
    </row>
    <row r="74" customFormat="false" ht="12" hidden="false" customHeight="false" outlineLevel="1" collapsed="false">
      <c r="B74" s="19"/>
      <c r="C74" s="25"/>
      <c r="Q74" s="26"/>
      <c r="R74" s="20"/>
      <c r="U74" s="208"/>
      <c r="V74" s="208"/>
      <c r="W74" s="208"/>
      <c r="X74" s="208"/>
      <c r="Y74" s="208"/>
      <c r="Z74" s="208"/>
    </row>
    <row r="75" customFormat="false" ht="13.9" hidden="false" customHeight="true" outlineLevel="1" collapsed="false">
      <c r="B75" s="19"/>
      <c r="C75" s="209" t="s">
        <v>165</v>
      </c>
      <c r="D75" s="209"/>
      <c r="E75" s="209"/>
      <c r="F75" s="209"/>
      <c r="G75" s="209"/>
      <c r="H75" s="67" t="n">
        <f aca="false">SUM(H69)*(1+$G73)</f>
        <v>0</v>
      </c>
      <c r="I75" s="67"/>
      <c r="J75" s="67" t="n">
        <f aca="false">SUM(J69)*(1+$G73)</f>
        <v>0</v>
      </c>
      <c r="K75" s="67"/>
      <c r="L75" s="67" t="n">
        <f aca="false">SUM(L69)*(1+$G73)</f>
        <v>0</v>
      </c>
      <c r="M75" s="67"/>
      <c r="N75" s="67" t="n">
        <f aca="false">SUM(N69)*(1+$G73)</f>
        <v>0</v>
      </c>
      <c r="O75" s="67"/>
      <c r="P75" s="68" t="n">
        <f aca="false">SUM(P69)*(1+$G73)</f>
        <v>0</v>
      </c>
      <c r="Q75" s="68"/>
      <c r="R75" s="20"/>
      <c r="U75" s="192"/>
      <c r="V75" s="193"/>
      <c r="W75" s="193"/>
      <c r="X75" s="193"/>
      <c r="Y75" s="193"/>
      <c r="Z75" s="194"/>
    </row>
    <row r="76" customFormat="false" ht="12" hidden="false" customHeight="false" outlineLevel="1" collapsed="false">
      <c r="B76" s="19"/>
      <c r="C76" s="25"/>
      <c r="I76" s="210"/>
      <c r="Q76" s="26"/>
      <c r="R76" s="20"/>
      <c r="U76" s="192"/>
      <c r="V76" s="193"/>
      <c r="W76" s="193"/>
      <c r="X76" s="193"/>
      <c r="Y76" s="193"/>
      <c r="Z76" s="194"/>
    </row>
    <row r="77" customFormat="false" ht="12.75" hidden="true" customHeight="false" outlineLevel="1" collapsed="false">
      <c r="B77" s="19"/>
      <c r="C77" s="72" t="s">
        <v>166</v>
      </c>
      <c r="H77" s="211"/>
      <c r="Q77" s="26"/>
      <c r="R77" s="20"/>
      <c r="U77" s="192"/>
      <c r="V77" s="193"/>
      <c r="W77" s="193"/>
      <c r="X77" s="193"/>
      <c r="Y77" s="193"/>
      <c r="Z77" s="194"/>
    </row>
    <row r="78" customFormat="false" ht="13.15" hidden="true" customHeight="true" outlineLevel="2" collapsed="false">
      <c r="B78" s="19"/>
      <c r="C78" s="195" t="s">
        <v>167</v>
      </c>
      <c r="Q78" s="26"/>
      <c r="R78" s="20"/>
      <c r="U78" s="192"/>
      <c r="V78" s="193"/>
      <c r="W78" s="193"/>
      <c r="X78" s="193"/>
      <c r="Y78" s="193"/>
      <c r="Z78" s="194"/>
    </row>
    <row r="79" s="74" customFormat="true" ht="11.25" hidden="true" customHeight="true" outlineLevel="2" collapsed="false">
      <c r="A79" s="15"/>
      <c r="B79" s="196"/>
      <c r="C79" s="73"/>
      <c r="H79" s="47" t="n">
        <f aca="false">IF($D$30="","",IF($D$29&gt;$D$30,"Fel i grunduppgifter",$D$30))</f>
        <v>2023</v>
      </c>
      <c r="I79" s="47"/>
      <c r="J79" s="47" t="n">
        <f aca="false">IFERROR(H79+1,"")</f>
        <v>2024</v>
      </c>
      <c r="K79" s="47"/>
      <c r="L79" s="47" t="n">
        <f aca="false">IFERROR(J79+1,"")</f>
        <v>2025</v>
      </c>
      <c r="M79" s="47"/>
      <c r="N79" s="47" t="n">
        <f aca="false">IFERROR(L79+1,"")</f>
        <v>2026</v>
      </c>
      <c r="O79" s="47"/>
      <c r="P79" s="48" t="n">
        <f aca="false">IFERROR(N79+1,"")</f>
        <v>2027</v>
      </c>
      <c r="Q79" s="48"/>
      <c r="R79" s="197"/>
      <c r="S79" s="15"/>
      <c r="T79" s="15"/>
      <c r="U79" s="208" t="s">
        <v>168</v>
      </c>
      <c r="V79" s="208"/>
      <c r="W79" s="208"/>
      <c r="X79" s="208"/>
      <c r="Y79" s="208"/>
      <c r="Z79" s="208"/>
    </row>
    <row r="80" s="74" customFormat="true" ht="11.25" hidden="true" customHeight="true" outlineLevel="2" collapsed="false">
      <c r="A80" s="15"/>
      <c r="B80" s="196"/>
      <c r="C80" s="49" t="s">
        <v>29</v>
      </c>
      <c r="D80" s="50" t="s">
        <v>30</v>
      </c>
      <c r="E80" s="50"/>
      <c r="F80" s="50" t="s">
        <v>31</v>
      </c>
      <c r="G80" s="50" t="s">
        <v>169</v>
      </c>
      <c r="H80" s="52" t="s">
        <v>33</v>
      </c>
      <c r="I80" s="52" t="str">
        <f aca="false">IF($D$29=$D$30,"inkl. index 0%","inkl. index 0%")</f>
        <v>inkl. index 0%</v>
      </c>
      <c r="J80" s="52" t="s">
        <v>33</v>
      </c>
      <c r="K80" s="52" t="s">
        <v>66</v>
      </c>
      <c r="L80" s="52" t="s">
        <v>33</v>
      </c>
      <c r="M80" s="52" t="s">
        <v>66</v>
      </c>
      <c r="N80" s="52" t="s">
        <v>33</v>
      </c>
      <c r="O80" s="52" t="s">
        <v>66</v>
      </c>
      <c r="P80" s="52" t="s">
        <v>33</v>
      </c>
      <c r="Q80" s="75" t="s">
        <v>66</v>
      </c>
      <c r="R80" s="197"/>
      <c r="S80" s="15"/>
      <c r="T80" s="15"/>
      <c r="U80" s="208"/>
      <c r="V80" s="208"/>
      <c r="W80" s="208"/>
      <c r="X80" s="208"/>
      <c r="Y80" s="208"/>
      <c r="Z80" s="208"/>
    </row>
    <row r="81" customFormat="false" ht="11.45" hidden="true" customHeight="true" outlineLevel="2" collapsed="false">
      <c r="B81" s="19"/>
      <c r="C81" s="53" t="s">
        <v>170</v>
      </c>
      <c r="D81" s="33"/>
      <c r="E81" s="33"/>
      <c r="F81" s="54" t="n">
        <f aca="false">(H81+J81+L81+N81+P81)*1680</f>
        <v>0</v>
      </c>
      <c r="G81" s="55"/>
      <c r="H81" s="56"/>
      <c r="I81" s="54" t="n">
        <f aca="false">IFERROR(IF(OR($D$29="",$D$30=""),"År saknas",(($G81*12)*H81*((1+(MID(I$80,12,2))/100)^(H$79-$D$29)))),0)</f>
        <v>0</v>
      </c>
      <c r="J81" s="56"/>
      <c r="K81" s="54" t="n">
        <f aca="false">IFERROR(IF(OR($D$29="",$D$30=""),"År saknas",(($G81*12)*J81*((1+(MID(K$80,12,2))/100)^(J$79-$D$29)))),0)</f>
        <v>0</v>
      </c>
      <c r="L81" s="56"/>
      <c r="M81" s="54" t="n">
        <f aca="false">IFERROR(IF(OR($D$29="",$D$30=""),"År saknas",(($G81*12)*L81*((1+(MID(M$80,12,2))/100)^(L$79-$D$29)))),0)</f>
        <v>0</v>
      </c>
      <c r="N81" s="56"/>
      <c r="O81" s="54" t="n">
        <f aca="false">IFERROR(IF(OR($D$29="",$D$30=""),"År saknas",(($G81*12)*N81*((1+(MID(O$80,12,2))/100)^(N$79-$D$29)))),0)</f>
        <v>0</v>
      </c>
      <c r="P81" s="56"/>
      <c r="Q81" s="76" t="n">
        <f aca="false">IFERROR(IF(OR($D$29="",$D$30=""),"År saknas",(($G81*12)*P81*((1+(MID(Q$80,12,2))/100)^(P$79-$D$29)))),0)</f>
        <v>0</v>
      </c>
      <c r="R81" s="20"/>
      <c r="U81" s="208"/>
      <c r="V81" s="208"/>
      <c r="W81" s="208"/>
      <c r="X81" s="208"/>
      <c r="Y81" s="208"/>
      <c r="Z81" s="208"/>
    </row>
    <row r="82" customFormat="false" ht="12" hidden="true" customHeight="false" outlineLevel="2" collapsed="false">
      <c r="B82" s="19"/>
      <c r="C82" s="53"/>
      <c r="D82" s="33"/>
      <c r="E82" s="33"/>
      <c r="F82" s="54" t="n">
        <f aca="false">(H82+J82+L82+N82+P82)*1680</f>
        <v>0</v>
      </c>
      <c r="G82" s="55"/>
      <c r="H82" s="56"/>
      <c r="I82" s="54" t="n">
        <f aca="false">IFERROR(IF(OR($D$29="",$D$30=""),"År saknas",(($G82*12)*H82*((1+(MID(I$80,12,2))/100)^(H$79-$D$29)))),0)</f>
        <v>0</v>
      </c>
      <c r="J82" s="56"/>
      <c r="K82" s="54" t="n">
        <f aca="false">IFERROR(IF(OR($D$29="",$D$30=""),"År saknas",(($G82*12)*J82*((1+(MID(K$80,12,2))/100)^(J$79-$D$29)))),0)</f>
        <v>0</v>
      </c>
      <c r="L82" s="56"/>
      <c r="M82" s="54" t="n">
        <f aca="false">IFERROR(IF(OR($D$29="",$D$30=""),"År saknas",(($G82*12)*L82*((1+(MID(M$80,12,2))/100)^(L$79-$D$29)))),0)</f>
        <v>0</v>
      </c>
      <c r="N82" s="56"/>
      <c r="O82" s="54" t="n">
        <f aca="false">IFERROR(IF(OR($D$29="",$D$30=""),"År saknas",(($G82*12)*N82*((1+(MID(O$80,12,2))/100)^(N$79-$D$29)))),0)</f>
        <v>0</v>
      </c>
      <c r="P82" s="56"/>
      <c r="Q82" s="76" t="n">
        <f aca="false">IFERROR(IF(OR($D$29="",$D$30=""),"År saknas",(($G82*12)*P82*((1+(MID(Q$80,12,2))/100)^(P$79-$D$29)))),0)</f>
        <v>0</v>
      </c>
      <c r="R82" s="20"/>
      <c r="U82" s="208"/>
      <c r="V82" s="208"/>
      <c r="W82" s="208"/>
      <c r="X82" s="208"/>
      <c r="Y82" s="208"/>
      <c r="Z82" s="208"/>
    </row>
    <row r="83" customFormat="false" ht="12" hidden="true" customHeight="false" outlineLevel="2" collapsed="false">
      <c r="B83" s="19"/>
      <c r="C83" s="83"/>
      <c r="D83" s="189"/>
      <c r="E83" s="189"/>
      <c r="F83" s="85"/>
      <c r="G83" s="85"/>
      <c r="H83" s="204"/>
      <c r="Q83" s="26"/>
      <c r="R83" s="20"/>
      <c r="U83" s="192"/>
      <c r="V83" s="193"/>
      <c r="W83" s="193"/>
      <c r="X83" s="193"/>
      <c r="Y83" s="193"/>
      <c r="Z83" s="194"/>
    </row>
    <row r="84" customFormat="false" ht="14.25" hidden="true" customHeight="true" outlineLevel="1" collapsed="true">
      <c r="B84" s="19"/>
      <c r="C84" s="205" t="s">
        <v>171</v>
      </c>
      <c r="D84" s="205"/>
      <c r="E84" s="205"/>
      <c r="F84" s="212"/>
      <c r="G84" s="213"/>
      <c r="H84" s="60" t="n">
        <f aca="false">SUM(I$81:I82)</f>
        <v>0</v>
      </c>
      <c r="I84" s="60"/>
      <c r="J84" s="60" t="n">
        <f aca="false">SUM(K$81:K82)</f>
        <v>0</v>
      </c>
      <c r="K84" s="60"/>
      <c r="L84" s="60" t="n">
        <f aca="false">SUM(M$81:M82)</f>
        <v>0</v>
      </c>
      <c r="M84" s="60"/>
      <c r="N84" s="60" t="n">
        <f aca="false">SUM(O$81:O82)</f>
        <v>0</v>
      </c>
      <c r="O84" s="60"/>
      <c r="P84" s="61" t="n">
        <f aca="false">SUM(Q$81:Q82)</f>
        <v>0</v>
      </c>
      <c r="Q84" s="61"/>
      <c r="R84" s="20"/>
      <c r="U84" s="192"/>
      <c r="V84" s="193"/>
      <c r="W84" s="193"/>
      <c r="X84" s="193"/>
      <c r="Y84" s="193"/>
      <c r="Z84" s="194"/>
    </row>
    <row r="85" customFormat="false" ht="12" hidden="true" customHeight="false" outlineLevel="1" collapsed="false">
      <c r="B85" s="19"/>
      <c r="C85" s="25"/>
      <c r="Q85" s="26"/>
      <c r="R85" s="20"/>
      <c r="U85" s="192"/>
      <c r="V85" s="193"/>
      <c r="W85" s="193"/>
      <c r="X85" s="193"/>
      <c r="Y85" s="193"/>
      <c r="Z85" s="194"/>
    </row>
    <row r="86" customFormat="false" ht="14.25" hidden="true" customHeight="true" outlineLevel="0" collapsed="false">
      <c r="B86" s="19"/>
      <c r="C86" s="87" t="s">
        <v>172</v>
      </c>
      <c r="D86" s="87"/>
      <c r="E86" s="87"/>
      <c r="F86" s="88"/>
      <c r="G86" s="88"/>
      <c r="H86" s="67" t="n">
        <f aca="false">H84+H75</f>
        <v>0</v>
      </c>
      <c r="I86" s="67"/>
      <c r="J86" s="67" t="n">
        <f aca="false">J84+J75</f>
        <v>0</v>
      </c>
      <c r="K86" s="67"/>
      <c r="L86" s="67" t="n">
        <f aca="false">L84+L75</f>
        <v>0</v>
      </c>
      <c r="M86" s="67"/>
      <c r="N86" s="67" t="n">
        <f aca="false">N84+N75</f>
        <v>0</v>
      </c>
      <c r="O86" s="67"/>
      <c r="P86" s="68" t="n">
        <f aca="false">P84+P75</f>
        <v>0</v>
      </c>
      <c r="Q86" s="68"/>
      <c r="R86" s="20"/>
      <c r="U86" s="192"/>
      <c r="V86" s="193"/>
      <c r="W86" s="193"/>
      <c r="X86" s="193"/>
      <c r="Y86" s="193"/>
      <c r="Z86" s="194"/>
    </row>
    <row r="87" customFormat="false" ht="12" hidden="false" customHeight="false" outlineLevel="0" collapsed="false">
      <c r="B87" s="19"/>
      <c r="C87" s="25"/>
      <c r="Q87" s="26"/>
      <c r="R87" s="20"/>
      <c r="U87" s="198"/>
      <c r="V87" s="193"/>
      <c r="W87" s="193"/>
      <c r="X87" s="193"/>
      <c r="Y87" s="193"/>
      <c r="Z87" s="194"/>
    </row>
    <row r="88" customFormat="false" ht="15" hidden="false" customHeight="false" outlineLevel="0" collapsed="false">
      <c r="B88" s="19"/>
      <c r="C88" s="41" t="s">
        <v>173</v>
      </c>
      <c r="Q88" s="26"/>
      <c r="R88" s="20"/>
      <c r="U88" s="192"/>
      <c r="V88" s="193"/>
      <c r="W88" s="193"/>
      <c r="X88" s="193"/>
      <c r="Y88" s="193"/>
      <c r="Z88" s="194"/>
    </row>
    <row r="89" customFormat="false" ht="15" hidden="false" customHeight="false" outlineLevel="0" collapsed="false">
      <c r="B89" s="19"/>
      <c r="C89" s="41"/>
      <c r="Q89" s="26"/>
      <c r="R89" s="20"/>
      <c r="U89" s="192"/>
      <c r="V89" s="193"/>
      <c r="W89" s="193"/>
      <c r="X89" s="193"/>
      <c r="Y89" s="193"/>
      <c r="Z89" s="194"/>
    </row>
    <row r="90" customFormat="false" ht="12.75" hidden="false" customHeight="false" outlineLevel="1" collapsed="false">
      <c r="B90" s="19"/>
      <c r="C90" s="72" t="s">
        <v>174</v>
      </c>
      <c r="Q90" s="26"/>
      <c r="R90" s="20"/>
      <c r="U90" s="192"/>
      <c r="V90" s="193"/>
      <c r="W90" s="193"/>
      <c r="X90" s="193"/>
      <c r="Y90" s="193"/>
      <c r="Z90" s="194"/>
    </row>
    <row r="91" customFormat="false" ht="12.75" hidden="false" customHeight="false" outlineLevel="1" collapsed="false">
      <c r="B91" s="19"/>
      <c r="C91" s="72"/>
      <c r="Q91" s="26"/>
      <c r="R91" s="20"/>
      <c r="U91" s="198"/>
      <c r="V91" s="193"/>
      <c r="W91" s="193"/>
      <c r="X91" s="193"/>
      <c r="Y91" s="193"/>
      <c r="Z91" s="194"/>
    </row>
    <row r="92" customFormat="false" ht="12" hidden="false" customHeight="false" outlineLevel="1" collapsed="false">
      <c r="B92" s="19"/>
      <c r="C92" s="73"/>
      <c r="D92" s="74"/>
      <c r="E92" s="74"/>
      <c r="F92" s="74"/>
      <c r="G92" s="74"/>
      <c r="H92" s="47" t="n">
        <f aca="false">IF($D$30="","",IF($D$29&gt;$D$30,"Fel i grunduppgifter",$D$30))</f>
        <v>2023</v>
      </c>
      <c r="I92" s="47"/>
      <c r="J92" s="47" t="n">
        <f aca="false">IFERROR(H92+1,"")</f>
        <v>2024</v>
      </c>
      <c r="K92" s="47"/>
      <c r="L92" s="47" t="n">
        <f aca="false">IFERROR(J92+1,"")</f>
        <v>2025</v>
      </c>
      <c r="M92" s="47"/>
      <c r="N92" s="47" t="n">
        <f aca="false">IFERROR(L92+1,"")</f>
        <v>2026</v>
      </c>
      <c r="O92" s="47"/>
      <c r="P92" s="48" t="n">
        <f aca="false">IFERROR(N92+1,"")</f>
        <v>2027</v>
      </c>
      <c r="Q92" s="48"/>
      <c r="R92" s="20"/>
      <c r="U92" s="198" t="s">
        <v>130</v>
      </c>
      <c r="V92" s="193"/>
      <c r="W92" s="193"/>
      <c r="X92" s="193"/>
      <c r="Y92" s="193"/>
      <c r="Z92" s="194"/>
    </row>
    <row r="93" customFormat="false" ht="14.25" hidden="false" customHeight="true" outlineLevel="1" collapsed="false">
      <c r="B93" s="19"/>
      <c r="C93" s="49" t="s">
        <v>175</v>
      </c>
      <c r="D93" s="49"/>
      <c r="E93" s="49"/>
      <c r="F93" s="49"/>
      <c r="G93" s="50" t="s">
        <v>44</v>
      </c>
      <c r="H93" s="52" t="s">
        <v>176</v>
      </c>
      <c r="I93" s="52" t="str">
        <f aca="false">IF($D$29=$D$30,"inkl. index 0%","inkl. index 0%")</f>
        <v>inkl. index 0%</v>
      </c>
      <c r="J93" s="52" t="s">
        <v>176</v>
      </c>
      <c r="K93" s="52" t="s">
        <v>66</v>
      </c>
      <c r="L93" s="52" t="s">
        <v>176</v>
      </c>
      <c r="M93" s="52" t="s">
        <v>66</v>
      </c>
      <c r="N93" s="52" t="s">
        <v>176</v>
      </c>
      <c r="O93" s="52" t="s">
        <v>66</v>
      </c>
      <c r="P93" s="52" t="s">
        <v>176</v>
      </c>
      <c r="Q93" s="75" t="s">
        <v>66</v>
      </c>
      <c r="R93" s="20"/>
      <c r="U93" s="201" t="s">
        <v>177</v>
      </c>
      <c r="V93" s="201"/>
      <c r="W93" s="201"/>
      <c r="X93" s="201"/>
      <c r="Y93" s="201"/>
      <c r="Z93" s="201"/>
    </row>
    <row r="94" customFormat="false" ht="14.25" hidden="false" customHeight="false" outlineLevel="1" collapsed="false">
      <c r="B94" s="19"/>
      <c r="C94" s="53"/>
      <c r="D94" s="53"/>
      <c r="E94" s="53"/>
      <c r="F94" s="53"/>
      <c r="G94" s="55"/>
      <c r="H94" s="56"/>
      <c r="I94" s="54" t="n">
        <f aca="false">IF(OR($D$29="",$D$30=""),"År saknas",(($G94)*H94)*((1+(MID(I$93,12,2))/100)^(H$92-$D$29)))</f>
        <v>0</v>
      </c>
      <c r="J94" s="56"/>
      <c r="K94" s="54" t="n">
        <f aca="false">IF(OR($D$29="",$D$30=""),"År saknas",(($G94)*J94)*((1+(MID(K$93,12,2))/100)^(J$102-$D$29)))</f>
        <v>0</v>
      </c>
      <c r="L94" s="56"/>
      <c r="M94" s="54" t="n">
        <f aca="false">IF(OR($D$29="",$D$30=""),"År saknas",(($G94)*L94)*((1+(MID(M$93,12,2))/100)^(L$92-$D$29)))</f>
        <v>0</v>
      </c>
      <c r="N94" s="56"/>
      <c r="O94" s="54" t="n">
        <f aca="false">IF(OR($D$29="",$D$30=""),"År saknas",(($G94)*N94)*((1+(MID(O$93,12,2))/100)^(N$92-$D$29)))</f>
        <v>0</v>
      </c>
      <c r="P94" s="56"/>
      <c r="Q94" s="76" t="n">
        <f aca="false">IF(OR($D$29="",$D$30=""),"År saknas",(($G94)*P94)*((1+(MID(Q$93,12,2))/100)^(P$92-$D$29)))</f>
        <v>0</v>
      </c>
      <c r="R94" s="20"/>
      <c r="U94" s="201"/>
      <c r="V94" s="201"/>
      <c r="W94" s="201"/>
      <c r="X94" s="201"/>
      <c r="Y94" s="201"/>
      <c r="Z94" s="201"/>
    </row>
    <row r="95" customFormat="false" ht="14.25" hidden="false" customHeight="false" outlineLevel="1" collapsed="false">
      <c r="B95" s="19"/>
      <c r="C95" s="53"/>
      <c r="D95" s="53"/>
      <c r="E95" s="53"/>
      <c r="F95" s="53"/>
      <c r="G95" s="55"/>
      <c r="H95" s="56"/>
      <c r="I95" s="54" t="n">
        <f aca="false">IF(OR($D$29="",$D$30=""),"År saknas",(($G95)*H95)*((1+(MID(I$93,12,2))/100)^(H$102-$D$29)))</f>
        <v>0</v>
      </c>
      <c r="J95" s="56"/>
      <c r="K95" s="54" t="n">
        <f aca="false">IF(OR($D$29="",$D$30=""),"År saknas",(($G95)*J95)*((1+(MID(K$93,12,2))/100)^(J$92-$D$29)))</f>
        <v>0</v>
      </c>
      <c r="L95" s="56"/>
      <c r="M95" s="54" t="n">
        <f aca="false">IF(OR($D$29="",$D$30=""),"År saknas",(($G95)*L95)*((1+(MID(M$93,12,2))/100)^(L$92-$D$29)))</f>
        <v>0</v>
      </c>
      <c r="N95" s="56"/>
      <c r="O95" s="54" t="n">
        <f aca="false">IF(OR($D$29="",$D$30=""),"År saknas",(($G95)*N95)*((1+(MID(O$93,12,2))/100)^(N$92-$D$29)))</f>
        <v>0</v>
      </c>
      <c r="P95" s="56"/>
      <c r="Q95" s="76" t="n">
        <f aca="false">IF(OR($D$29="",$D$30=""),"År saknas",(($G95)*P95)*((1+(MID(Q$93,12,2))/100)^(P$92-$D$29)))</f>
        <v>0</v>
      </c>
      <c r="R95" s="20"/>
      <c r="U95" s="201"/>
      <c r="V95" s="201"/>
      <c r="W95" s="201"/>
      <c r="X95" s="201"/>
      <c r="Y95" s="201"/>
      <c r="Z95" s="201"/>
    </row>
    <row r="96" customFormat="false" ht="14.25" hidden="false" customHeight="false" outlineLevel="1" collapsed="false">
      <c r="B96" s="19"/>
      <c r="C96" s="53"/>
      <c r="D96" s="53"/>
      <c r="E96" s="53"/>
      <c r="F96" s="53"/>
      <c r="G96" s="55"/>
      <c r="H96" s="56"/>
      <c r="I96" s="54" t="n">
        <f aca="false">IF(OR($D$29="",$D$30=""),"År saknas",(($G96)*H96)*((1+(MID(I$93,12,2))/100)^(H$102-$D$29)))</f>
        <v>0</v>
      </c>
      <c r="J96" s="56"/>
      <c r="K96" s="54" t="n">
        <f aca="false">IF(OR($D$29="",$D$30=""),"År saknas",(($G96)*J96)*((1+(MID(K$93,12,2))/100)^(J$92-$D$29)))</f>
        <v>0</v>
      </c>
      <c r="L96" s="56"/>
      <c r="M96" s="54" t="n">
        <f aca="false">IF(OR($D$29="",$D$30=""),"År saknas",(($G96)*L96)*((1+(MID(M$93,12,2))/100)^(L$92-$D$29)))</f>
        <v>0</v>
      </c>
      <c r="N96" s="56"/>
      <c r="O96" s="54" t="n">
        <f aca="false">IF(OR($D$29="",$D$30=""),"År saknas",(($G96)*N96)*((1+(MID(O$93,12,2))/100)^(N$92-$D$29)))</f>
        <v>0</v>
      </c>
      <c r="P96" s="56"/>
      <c r="Q96" s="76" t="n">
        <f aca="false">IF(OR($D$29="",$D$30=""),"År saknas",(($G96)*P96)*((1+(MID(Q$93,12,2))/100)^(P$92-$D$29)))</f>
        <v>0</v>
      </c>
      <c r="R96" s="20"/>
      <c r="U96" s="201"/>
      <c r="V96" s="201"/>
      <c r="W96" s="201"/>
      <c r="X96" s="201"/>
      <c r="Y96" s="201"/>
      <c r="Z96" s="201"/>
    </row>
    <row r="97" customFormat="false" ht="12.75" hidden="false" customHeight="false" outlineLevel="1" collapsed="false">
      <c r="B97" s="19"/>
      <c r="C97" s="72"/>
      <c r="Q97" s="26"/>
      <c r="R97" s="20"/>
      <c r="U97" s="192"/>
      <c r="V97" s="193"/>
      <c r="W97" s="193"/>
      <c r="X97" s="193"/>
      <c r="Y97" s="193"/>
      <c r="Z97" s="194"/>
    </row>
    <row r="98" customFormat="false" ht="14.25" hidden="false" customHeight="false" outlineLevel="1" collapsed="false">
      <c r="B98" s="19"/>
      <c r="C98" s="57" t="s">
        <v>178</v>
      </c>
      <c r="D98" s="57"/>
      <c r="E98" s="57"/>
      <c r="F98" s="57"/>
      <c r="G98" s="57"/>
      <c r="H98" s="60" t="n">
        <f aca="false">SUM(I$94:I96)</f>
        <v>0</v>
      </c>
      <c r="I98" s="60"/>
      <c r="J98" s="60" t="n">
        <f aca="false">SUM(K$94:K96)</f>
        <v>0</v>
      </c>
      <c r="K98" s="60"/>
      <c r="L98" s="60" t="n">
        <f aca="false">SUM(M$94:M96)</f>
        <v>0</v>
      </c>
      <c r="M98" s="60"/>
      <c r="N98" s="60" t="n">
        <f aca="false">SUM(O$94:O96)</f>
        <v>0</v>
      </c>
      <c r="O98" s="60"/>
      <c r="P98" s="60" t="n">
        <f aca="false">SUM(Q$94:Q96)</f>
        <v>0</v>
      </c>
      <c r="Q98" s="60"/>
      <c r="R98" s="20"/>
      <c r="U98" s="192"/>
      <c r="V98" s="193"/>
      <c r="W98" s="193"/>
      <c r="X98" s="193"/>
      <c r="Y98" s="193"/>
      <c r="Z98" s="194"/>
    </row>
    <row r="99" customFormat="false" ht="12.75" hidden="false" customHeight="false" outlineLevel="1" collapsed="false">
      <c r="B99" s="19"/>
      <c r="C99" s="72"/>
      <c r="Q99" s="26"/>
      <c r="R99" s="20"/>
      <c r="U99" s="192"/>
      <c r="V99" s="193"/>
      <c r="W99" s="193"/>
      <c r="X99" s="193"/>
      <c r="Y99" s="193"/>
      <c r="Z99" s="194"/>
    </row>
    <row r="100" customFormat="false" ht="12.75" hidden="false" customHeight="false" outlineLevel="1" collapsed="false">
      <c r="B100" s="19"/>
      <c r="C100" s="72" t="s">
        <v>179</v>
      </c>
      <c r="Q100" s="26"/>
      <c r="R100" s="20"/>
      <c r="U100" s="192"/>
      <c r="V100" s="193"/>
      <c r="W100" s="193"/>
      <c r="X100" s="193"/>
      <c r="Y100" s="193"/>
      <c r="Z100" s="194"/>
    </row>
    <row r="101" customFormat="false" ht="12.75" hidden="false" customHeight="false" outlineLevel="1" collapsed="false">
      <c r="B101" s="19"/>
      <c r="C101" s="72"/>
      <c r="Q101" s="26"/>
      <c r="R101" s="20"/>
      <c r="U101" s="192"/>
      <c r="V101" s="193"/>
      <c r="W101" s="193"/>
      <c r="X101" s="193"/>
      <c r="Y101" s="193"/>
      <c r="Z101" s="194"/>
    </row>
    <row r="102" s="74" customFormat="true" ht="11.25" hidden="false" customHeight="true" outlineLevel="2" collapsed="false">
      <c r="A102" s="15"/>
      <c r="B102" s="196"/>
      <c r="C102" s="73"/>
      <c r="H102" s="47" t="n">
        <f aca="false">IF($D$30="","",IF($D$29&gt;$D$30,"Fel i grunduppgifter",$D$30))</f>
        <v>2023</v>
      </c>
      <c r="I102" s="47"/>
      <c r="J102" s="47" t="n">
        <f aca="false">IFERROR(H102+1,"")</f>
        <v>2024</v>
      </c>
      <c r="K102" s="47"/>
      <c r="L102" s="47" t="n">
        <f aca="false">IFERROR(J102+1,"")</f>
        <v>2025</v>
      </c>
      <c r="M102" s="47"/>
      <c r="N102" s="47" t="n">
        <f aca="false">IFERROR(L102+1,"")</f>
        <v>2026</v>
      </c>
      <c r="O102" s="47"/>
      <c r="P102" s="48" t="n">
        <f aca="false">IFERROR(N102+1,"")</f>
        <v>2027</v>
      </c>
      <c r="Q102" s="48"/>
      <c r="R102" s="197"/>
      <c r="S102" s="15"/>
      <c r="T102" s="15"/>
      <c r="U102" s="214" t="s">
        <v>180</v>
      </c>
      <c r="V102" s="214"/>
      <c r="W102" s="214"/>
      <c r="X102" s="214"/>
      <c r="Y102" s="214"/>
      <c r="Z102" s="214"/>
    </row>
    <row r="103" s="74" customFormat="true" ht="14.25" hidden="false" customHeight="true" outlineLevel="2" collapsed="false">
      <c r="A103" s="15"/>
      <c r="B103" s="196"/>
      <c r="C103" s="49" t="s">
        <v>181</v>
      </c>
      <c r="D103" s="49"/>
      <c r="E103" s="49"/>
      <c r="F103" s="49"/>
      <c r="G103" s="50" t="s">
        <v>44</v>
      </c>
      <c r="H103" s="52" t="s">
        <v>176</v>
      </c>
      <c r="I103" s="52" t="str">
        <f aca="false">IF($D$29=$D$30,"inkl. index 0%","inkl. index 0%")</f>
        <v>inkl. index 0%</v>
      </c>
      <c r="J103" s="52" t="s">
        <v>176</v>
      </c>
      <c r="K103" s="52" t="s">
        <v>66</v>
      </c>
      <c r="L103" s="52" t="s">
        <v>176</v>
      </c>
      <c r="M103" s="52" t="s">
        <v>66</v>
      </c>
      <c r="N103" s="52" t="s">
        <v>176</v>
      </c>
      <c r="O103" s="52" t="s">
        <v>66</v>
      </c>
      <c r="P103" s="52" t="s">
        <v>176</v>
      </c>
      <c r="Q103" s="75" t="s">
        <v>66</v>
      </c>
      <c r="R103" s="197"/>
      <c r="S103" s="15"/>
      <c r="T103" s="15"/>
      <c r="U103" s="214"/>
      <c r="V103" s="214"/>
      <c r="W103" s="214"/>
      <c r="X103" s="214"/>
      <c r="Y103" s="214"/>
      <c r="Z103" s="214"/>
    </row>
    <row r="104" customFormat="false" ht="12.8" hidden="false" customHeight="false" outlineLevel="2" collapsed="false">
      <c r="B104" s="19"/>
      <c r="C104" s="53" t="s">
        <v>182</v>
      </c>
      <c r="D104" s="53"/>
      <c r="E104" s="53"/>
      <c r="F104" s="53"/>
      <c r="G104" s="55" t="n">
        <v>510000</v>
      </c>
      <c r="H104" s="56" t="n">
        <v>0.7</v>
      </c>
      <c r="I104" s="54" t="n">
        <f aca="false">IF(OR($D$29="",$D$30=""),"År saknas",(($G104)*H104)*((1+(MID(I$103,12,2))/100)^(H$102-$D$29)))</f>
        <v>357000</v>
      </c>
      <c r="J104" s="56" t="n">
        <v>0.3</v>
      </c>
      <c r="K104" s="54" t="n">
        <f aca="false">IF(OR($D$29="",$D$30=""),"År saknas",(($G104)*J104)*((1+(MID(K$103,12,2))/100)^(J$102-$D$29)))</f>
        <v>153000</v>
      </c>
      <c r="L104" s="56"/>
      <c r="M104" s="54" t="n">
        <f aca="false">IF(OR($D$29="",$D$30=""),"År saknas",(($G104)*L104)*((1+(MID(M$103,12,2))/100)^(L$102-$D$29)))</f>
        <v>0</v>
      </c>
      <c r="N104" s="56"/>
      <c r="O104" s="54" t="n">
        <f aca="false">IF(OR($D$29="",$D$30=""),"År saknas",(($G104)*N104)*((1+(MID(O$103,12,2))/100)^(N$102-$D$29)))</f>
        <v>0</v>
      </c>
      <c r="P104" s="56"/>
      <c r="Q104" s="76" t="n">
        <f aca="false">IF(OR($D$29="",$D$30=""),"År saknas",(($G104)*P104)*((1+(MID(Q$103,12,2))/100)^(P$102-$D$29)))</f>
        <v>0</v>
      </c>
      <c r="R104" s="20"/>
      <c r="U104" s="214"/>
      <c r="V104" s="214"/>
      <c r="W104" s="214"/>
      <c r="X104" s="214"/>
      <c r="Y104" s="214"/>
      <c r="Z104" s="214"/>
    </row>
    <row r="105" customFormat="false" ht="14.25" hidden="false" customHeight="false" outlineLevel="2" collapsed="false">
      <c r="B105" s="19"/>
      <c r="C105" s="53" t="s">
        <v>183</v>
      </c>
      <c r="D105" s="53"/>
      <c r="E105" s="53"/>
      <c r="F105" s="53"/>
      <c r="G105" s="55"/>
      <c r="H105" s="56"/>
      <c r="I105" s="54" t="n">
        <f aca="false">IF(OR($D$29="",$D$30=""),"År saknas",(($G105)*H105)*((1+(MID(I$103,12,2))/100)^(H$102-$D$29)))</f>
        <v>0</v>
      </c>
      <c r="J105" s="56"/>
      <c r="K105" s="54" t="n">
        <f aca="false">IF(OR($D$29="",$D$30=""),"År saknas",(($G105)*J105)*((1+(MID(K$103,12,2))/100)^(J$102-$D$29)))</f>
        <v>0</v>
      </c>
      <c r="L105" s="56"/>
      <c r="M105" s="54" t="n">
        <f aca="false">IF(OR($D$29="",$D$30=""),"År saknas",(($G105)*L105)*((1+(MID(M$103,12,2))/100)^(L$102-$D$29)))</f>
        <v>0</v>
      </c>
      <c r="N105" s="56"/>
      <c r="O105" s="54" t="n">
        <f aca="false">IF(OR($D$29="",$D$30=""),"År saknas",(($G105)*N105)*((1+(MID(O$103,12,2))/100)^(N$102-$D$29)))</f>
        <v>0</v>
      </c>
      <c r="P105" s="56"/>
      <c r="Q105" s="76" t="n">
        <f aca="false">IF(OR($D$29="",$D$30=""),"År saknas",(($G105)*P105)*((1+(MID(Q$103,12,2))/100)^(P$102-$D$29)))</f>
        <v>0</v>
      </c>
      <c r="R105" s="20"/>
      <c r="U105" s="214"/>
      <c r="V105" s="214"/>
      <c r="W105" s="214"/>
      <c r="X105" s="214"/>
      <c r="Y105" s="214"/>
      <c r="Z105" s="214"/>
    </row>
    <row r="106" customFormat="false" ht="14.25" hidden="false" customHeight="false" outlineLevel="2" collapsed="false">
      <c r="B106" s="19"/>
      <c r="C106" s="53" t="s">
        <v>184</v>
      </c>
      <c r="D106" s="53"/>
      <c r="E106" s="53"/>
      <c r="F106" s="53"/>
      <c r="G106" s="55"/>
      <c r="H106" s="56"/>
      <c r="I106" s="54" t="n">
        <f aca="false">IF(OR($D$29="",$D$30=""),"År saknas",(($G106)*H106)*((1+(MID(I$103,12,2))/100)^(H$102-$D$29)))</f>
        <v>0</v>
      </c>
      <c r="J106" s="56"/>
      <c r="K106" s="54" t="n">
        <f aca="false">IF(OR($D$29="",$D$30=""),"År saknas",(($G106)*J106)*((1+(MID(K$103,12,2))/100)^(J$102-$D$29)))</f>
        <v>0</v>
      </c>
      <c r="L106" s="56"/>
      <c r="M106" s="54" t="n">
        <f aca="false">IF(OR($D$29="",$D$30=""),"År saknas",(($G106)*L106)*((1+(MID(M$103,12,2))/100)^(L$102-$D$29)))</f>
        <v>0</v>
      </c>
      <c r="N106" s="56"/>
      <c r="O106" s="54" t="n">
        <f aca="false">IF(OR($D$29="",$D$30=""),"År saknas",(($G106)*N106)*((1+(MID(O$103,12,2))/100)^(N$102-$D$29)))</f>
        <v>0</v>
      </c>
      <c r="P106" s="56"/>
      <c r="Q106" s="76" t="n">
        <f aca="false">IF(OR($D$29="",$D$30=""),"År saknas",(($G106)*P106)*((1+(MID(Q$103,12,2))/100)^(P$102-$D$29)))</f>
        <v>0</v>
      </c>
      <c r="R106" s="20"/>
      <c r="U106" s="214"/>
      <c r="V106" s="214"/>
      <c r="W106" s="214"/>
      <c r="X106" s="214"/>
      <c r="Y106" s="214"/>
      <c r="Z106" s="214"/>
    </row>
    <row r="107" customFormat="false" ht="14.25" hidden="false" customHeight="false" outlineLevel="2" collapsed="false">
      <c r="B107" s="19"/>
      <c r="C107" s="53" t="s">
        <v>185</v>
      </c>
      <c r="D107" s="53"/>
      <c r="E107" s="53"/>
      <c r="F107" s="53"/>
      <c r="G107" s="55"/>
      <c r="H107" s="56"/>
      <c r="I107" s="54" t="n">
        <f aca="false">IF(OR($D$29="",$D$30=""),"År saknas",(($G107)*H107)*((1+(MID(I$103,12,2))/100)^(H$102-$D$29)))</f>
        <v>0</v>
      </c>
      <c r="J107" s="56"/>
      <c r="K107" s="54" t="n">
        <f aca="false">IF(OR($D$29="",$D$30=""),"År saknas",(($G107)*J107)*((1+(MID(K$103,12,2))/100)^(J$102-$D$29)))</f>
        <v>0</v>
      </c>
      <c r="L107" s="56"/>
      <c r="M107" s="54" t="n">
        <f aca="false">IF(OR($D$29="",$D$30=""),"År saknas",(($G107)*L107)*((1+(MID(M$103,12,2))/100)^(L$102-$D$29)))</f>
        <v>0</v>
      </c>
      <c r="N107" s="56"/>
      <c r="O107" s="54" t="n">
        <f aca="false">IF(OR($D$29="",$D$30=""),"År saknas",(($G107)*N107)*((1+(MID(O$103,12,2))/100)^(N$102-$D$29)))</f>
        <v>0</v>
      </c>
      <c r="P107" s="56"/>
      <c r="Q107" s="76" t="n">
        <f aca="false">IF(OR($D$29="",$D$30=""),"År saknas",(($G107)*P107)*((1+(MID(Q$103,12,2))/100)^(P$102-$D$29)))</f>
        <v>0</v>
      </c>
      <c r="R107" s="20"/>
      <c r="U107" s="214"/>
      <c r="V107" s="214"/>
      <c r="W107" s="214"/>
      <c r="X107" s="214"/>
      <c r="Y107" s="214"/>
      <c r="Z107" s="214"/>
    </row>
    <row r="108" customFormat="false" ht="14.25" hidden="false" customHeight="false" outlineLevel="2" collapsed="false">
      <c r="B108" s="19"/>
      <c r="C108" s="53"/>
      <c r="D108" s="53"/>
      <c r="E108" s="53"/>
      <c r="F108" s="53"/>
      <c r="G108" s="55"/>
      <c r="H108" s="56"/>
      <c r="I108" s="54" t="n">
        <f aca="false">IF(OR($D$29="",$D$30=""),"År saknas",(($G108)*H108)*((1+(MID(I$103,12,2))/100)^(H$102-$D$29)))</f>
        <v>0</v>
      </c>
      <c r="J108" s="56"/>
      <c r="K108" s="54" t="n">
        <f aca="false">IF(OR($D$29="",$D$30=""),"År saknas",(($G108)*J108)*((1+(MID(K$103,12,2))/100)^(J$102-$D$29)))</f>
        <v>0</v>
      </c>
      <c r="L108" s="56"/>
      <c r="M108" s="54" t="n">
        <f aca="false">IF(OR($D$29="",$D$30=""),"År saknas",(($G108)*L108)*((1+(MID(M$103,12,2))/100)^(L$102-$D$29)))</f>
        <v>0</v>
      </c>
      <c r="N108" s="56"/>
      <c r="O108" s="54" t="n">
        <f aca="false">IF(OR($D$29="",$D$30=""),"År saknas",(($G108)*N108)*((1+(MID(O$103,12,2))/100)^(N$102-$D$29)))</f>
        <v>0</v>
      </c>
      <c r="P108" s="56"/>
      <c r="Q108" s="76" t="n">
        <f aca="false">IF(OR($D$29="",$D$30=""),"År saknas",(($G108)*P108)*((1+(MID(Q$103,12,2))/100)^(P$102-$D$29)))</f>
        <v>0</v>
      </c>
      <c r="R108" s="20"/>
      <c r="U108" s="214"/>
      <c r="V108" s="214"/>
      <c r="W108" s="214"/>
      <c r="X108" s="214"/>
      <c r="Y108" s="214"/>
      <c r="Z108" s="214"/>
    </row>
    <row r="109" customFormat="false" ht="14.25" hidden="false" customHeight="false" outlineLevel="2" collapsed="false">
      <c r="B109" s="19"/>
      <c r="C109" s="53"/>
      <c r="D109" s="53"/>
      <c r="E109" s="53"/>
      <c r="F109" s="53"/>
      <c r="G109" s="55"/>
      <c r="H109" s="56"/>
      <c r="I109" s="54" t="n">
        <f aca="false">IF(OR($D$29="",$D$30=""),"År saknas",(($G109)*H109)*((1+(MID(I$103,12,2))/100)^(H$102-$D$29)))</f>
        <v>0</v>
      </c>
      <c r="J109" s="56"/>
      <c r="K109" s="54" t="n">
        <f aca="false">IF(OR($D$29="",$D$30=""),"År saknas",(($G109)*J109)*((1+(MID(K$103,12,2))/100)^(J$102-$D$29)))</f>
        <v>0</v>
      </c>
      <c r="L109" s="56"/>
      <c r="M109" s="54" t="n">
        <f aca="false">IF(OR($D$29="",$D$30=""),"År saknas",(($G109)*L109)*((1+(MID(M$103,12,2))/100)^(L$102-$D$29)))</f>
        <v>0</v>
      </c>
      <c r="N109" s="56"/>
      <c r="O109" s="54" t="n">
        <f aca="false">IF(OR($D$29="",$D$30=""),"År saknas",(($G109)*N109)*((1+(MID(O$103,12,2))/100)^(N$102-$D$29)))</f>
        <v>0</v>
      </c>
      <c r="P109" s="56"/>
      <c r="Q109" s="76" t="n">
        <f aca="false">IF(OR($D$29="",$D$30=""),"År saknas",(($G109)*P109)*((1+(MID(Q$103,12,2))/100)^(P$102-$D$29)))</f>
        <v>0</v>
      </c>
      <c r="R109" s="20"/>
      <c r="U109" s="214"/>
      <c r="V109" s="214"/>
      <c r="W109" s="214"/>
      <c r="X109" s="214"/>
      <c r="Y109" s="214"/>
      <c r="Z109" s="214"/>
    </row>
    <row r="110" customFormat="false" ht="14.25" hidden="false" customHeight="false" outlineLevel="2" collapsed="false">
      <c r="B110" s="19"/>
      <c r="C110" s="215"/>
      <c r="D110" s="216"/>
      <c r="E110" s="216"/>
      <c r="F110" s="217"/>
      <c r="G110" s="55"/>
      <c r="H110" s="56"/>
      <c r="I110" s="54" t="n">
        <f aca="false">IF(OR($D$29="",$D$30=""),"År saknas",(($G110)*H110)*((1+(MID(I$103,12,2))/100)^(H$102-$D$29)))</f>
        <v>0</v>
      </c>
      <c r="J110" s="56"/>
      <c r="K110" s="54" t="n">
        <f aca="false">IF(OR($D$29="",$D$30=""),"År saknas",(($G110)*J110)*((1+(MID(K$103,12,2))/100)^(J$102-$D$29)))</f>
        <v>0</v>
      </c>
      <c r="L110" s="56"/>
      <c r="M110" s="54" t="n">
        <f aca="false">IF(OR($D$29="",$D$30=""),"År saknas",(($G110)*L110)*((1+(MID(M$103,12,2))/100)^(L$102-$D$29)))</f>
        <v>0</v>
      </c>
      <c r="N110" s="56"/>
      <c r="O110" s="54" t="n">
        <f aca="false">IF(OR($D$29="",$D$30=""),"År saknas",(($G110)*N110)*((1+(MID(O$103,12,2))/100)^(N$102-$D$29)))</f>
        <v>0</v>
      </c>
      <c r="P110" s="56"/>
      <c r="Q110" s="76" t="n">
        <f aca="false">IF(OR($D$29="",$D$30=""),"År saknas",(($G110)*P110)*((1+(MID(Q$103,12,2))/100)^(P$102-$D$29)))</f>
        <v>0</v>
      </c>
      <c r="R110" s="20"/>
      <c r="U110" s="214"/>
      <c r="V110" s="214"/>
      <c r="W110" s="214"/>
      <c r="X110" s="214"/>
      <c r="Y110" s="214"/>
      <c r="Z110" s="214"/>
    </row>
    <row r="111" customFormat="false" ht="14.25" hidden="false" customHeight="false" outlineLevel="2" collapsed="false">
      <c r="B111" s="19"/>
      <c r="C111" s="215"/>
      <c r="D111" s="216"/>
      <c r="E111" s="216"/>
      <c r="F111" s="217"/>
      <c r="G111" s="55"/>
      <c r="H111" s="56"/>
      <c r="I111" s="54" t="n">
        <f aca="false">IF(OR($D$29="",$D$30=""),"År saknas",(($G111)*H111)*((1+(MID(I$103,12,2))/100)^(H$102-$D$29)))</f>
        <v>0</v>
      </c>
      <c r="J111" s="56"/>
      <c r="K111" s="54" t="n">
        <f aca="false">IF(OR($D$29="",$D$30=""),"År saknas",(($G111)*J111)*((1+(MID(K$103,12,2))/100)^(J$102-$D$29)))</f>
        <v>0</v>
      </c>
      <c r="L111" s="56"/>
      <c r="M111" s="54" t="n">
        <f aca="false">IF(OR($D$29="",$D$30=""),"År saknas",(($G111)*L111)*((1+(MID(M$103,12,2))/100)^(L$102-$D$29)))</f>
        <v>0</v>
      </c>
      <c r="N111" s="56"/>
      <c r="O111" s="54" t="n">
        <f aca="false">IF(OR($D$29="",$D$30=""),"År saknas",(($G111)*N111)*((1+(MID(O$103,12,2))/100)^(N$102-$D$29)))</f>
        <v>0</v>
      </c>
      <c r="P111" s="56"/>
      <c r="Q111" s="76" t="n">
        <f aca="false">IF(OR($D$29="",$D$30=""),"År saknas",(($G111)*P111)*((1+(MID(Q$103,12,2))/100)^(P$102-$D$29)))</f>
        <v>0</v>
      </c>
      <c r="R111" s="20"/>
      <c r="U111" s="214"/>
      <c r="V111" s="214"/>
      <c r="W111" s="214"/>
      <c r="X111" s="214"/>
      <c r="Y111" s="214"/>
      <c r="Z111" s="214"/>
    </row>
    <row r="112" customFormat="false" ht="14.25" hidden="false" customHeight="false" outlineLevel="2" collapsed="false">
      <c r="B112" s="19"/>
      <c r="C112" s="53"/>
      <c r="D112" s="53"/>
      <c r="E112" s="53"/>
      <c r="F112" s="53"/>
      <c r="G112" s="55"/>
      <c r="H112" s="56"/>
      <c r="I112" s="54" t="n">
        <f aca="false">IF(OR($D$29="",$D$30=""),"År saknas",(($G112)*H112)*((1+(MID(I$103,12,2))/100)^(H$102-$D$29)))</f>
        <v>0</v>
      </c>
      <c r="J112" s="56"/>
      <c r="K112" s="54" t="n">
        <f aca="false">IF(OR($D$29="",$D$30=""),"År saknas",(($G112)*J112)*((1+(MID(K$103,12,2))/100)^(J$102-$D$29)))</f>
        <v>0</v>
      </c>
      <c r="L112" s="56"/>
      <c r="M112" s="54" t="n">
        <f aca="false">IF(OR($D$29="",$D$30=""),"År saknas",(($G112)*L112)*((1+(MID(M$103,12,2))/100)^(L$102-$D$29)))</f>
        <v>0</v>
      </c>
      <c r="N112" s="56"/>
      <c r="O112" s="54" t="n">
        <f aca="false">IF(OR($D$29="",$D$30=""),"År saknas",(($G112)*N112)*((1+(MID(O$103,12,2))/100)^(N$102-$D$29)))</f>
        <v>0</v>
      </c>
      <c r="P112" s="56"/>
      <c r="Q112" s="76" t="n">
        <f aca="false">IF(OR($D$29="",$D$30=""),"År saknas",(($G112)*P112)*((1+(MID(Q$103,12,2))/100)^(P$102-$D$29)))</f>
        <v>0</v>
      </c>
      <c r="R112" s="20"/>
      <c r="U112" s="214"/>
      <c r="V112" s="214"/>
      <c r="W112" s="214"/>
      <c r="X112" s="214"/>
      <c r="Y112" s="214"/>
      <c r="Z112" s="214"/>
    </row>
    <row r="113" customFormat="false" ht="12" hidden="false" customHeight="false" outlineLevel="2" collapsed="false">
      <c r="B113" s="19"/>
      <c r="C113" s="25"/>
      <c r="Q113" s="26"/>
      <c r="R113" s="20"/>
      <c r="U113" s="214"/>
      <c r="V113" s="214"/>
      <c r="W113" s="214"/>
      <c r="X113" s="214"/>
      <c r="Y113" s="214"/>
      <c r="Z113" s="214"/>
    </row>
    <row r="114" customFormat="false" ht="14.25" hidden="false" customHeight="false" outlineLevel="1" collapsed="false">
      <c r="B114" s="19"/>
      <c r="C114" s="57" t="s">
        <v>186</v>
      </c>
      <c r="D114" s="57"/>
      <c r="E114" s="57"/>
      <c r="F114" s="57"/>
      <c r="G114" s="57"/>
      <c r="H114" s="60" t="n">
        <f aca="false">SUM(I$104:I112)</f>
        <v>357000</v>
      </c>
      <c r="I114" s="60"/>
      <c r="J114" s="60" t="n">
        <f aca="false">SUM(K$104:K112)</f>
        <v>153000</v>
      </c>
      <c r="K114" s="60"/>
      <c r="L114" s="60" t="n">
        <f aca="false">SUM(M$104:M112)</f>
        <v>0</v>
      </c>
      <c r="M114" s="60"/>
      <c r="N114" s="60" t="n">
        <f aca="false">SUM(O$104:O112)</f>
        <v>0</v>
      </c>
      <c r="O114" s="60"/>
      <c r="P114" s="61" t="n">
        <f aca="false">SUM(Q$104:Q112)</f>
        <v>0</v>
      </c>
      <c r="Q114" s="61"/>
      <c r="R114" s="20"/>
      <c r="U114" s="214"/>
      <c r="V114" s="214"/>
      <c r="W114" s="214"/>
      <c r="X114" s="214"/>
      <c r="Y114" s="214"/>
      <c r="Z114" s="214"/>
    </row>
    <row r="115" customFormat="false" ht="12" hidden="false" customHeight="true" outlineLevel="1" collapsed="false">
      <c r="B115" s="19"/>
      <c r="C115" s="25"/>
      <c r="I115" s="81"/>
      <c r="Q115" s="26"/>
      <c r="R115" s="20"/>
      <c r="U115" s="218" t="s">
        <v>187</v>
      </c>
      <c r="V115" s="218"/>
      <c r="W115" s="218"/>
      <c r="X115" s="218"/>
      <c r="Y115" s="218"/>
      <c r="Z115" s="218"/>
    </row>
    <row r="116" customFormat="false" ht="13.15" hidden="false" customHeight="true" outlineLevel="1" collapsed="false">
      <c r="B116" s="19"/>
      <c r="C116" s="72" t="s">
        <v>188</v>
      </c>
      <c r="Q116" s="26"/>
      <c r="R116" s="20"/>
      <c r="U116" s="218"/>
      <c r="V116" s="218"/>
      <c r="W116" s="218"/>
      <c r="X116" s="218"/>
      <c r="Y116" s="218"/>
      <c r="Z116" s="218"/>
    </row>
    <row r="117" customFormat="false" ht="11.45" hidden="false" customHeight="true" outlineLevel="2" collapsed="false">
      <c r="B117" s="19"/>
      <c r="C117" s="25"/>
      <c r="Q117" s="26"/>
      <c r="R117" s="20"/>
      <c r="U117" s="218"/>
      <c r="V117" s="218"/>
      <c r="W117" s="218"/>
      <c r="X117" s="218"/>
      <c r="Y117" s="218"/>
      <c r="Z117" s="218"/>
    </row>
    <row r="118" s="74" customFormat="true" ht="11.45" hidden="false" customHeight="true" outlineLevel="2" collapsed="false">
      <c r="A118" s="15"/>
      <c r="B118" s="196"/>
      <c r="C118" s="73"/>
      <c r="H118" s="47" t="n">
        <f aca="false">IF($D$30="","",IF($D$29&gt;$D$30,"Fel i grunduppgifter",$D$30))</f>
        <v>2023</v>
      </c>
      <c r="I118" s="47"/>
      <c r="J118" s="47" t="n">
        <f aca="false">IFERROR(H118+1,"")</f>
        <v>2024</v>
      </c>
      <c r="K118" s="47"/>
      <c r="L118" s="47" t="n">
        <f aca="false">IFERROR(J118+1,"")</f>
        <v>2025</v>
      </c>
      <c r="M118" s="47"/>
      <c r="N118" s="47" t="n">
        <f aca="false">IFERROR(L118+1,"")</f>
        <v>2026</v>
      </c>
      <c r="O118" s="47"/>
      <c r="P118" s="48" t="n">
        <f aca="false">IFERROR(N118+1,"")</f>
        <v>2027</v>
      </c>
      <c r="Q118" s="48"/>
      <c r="R118" s="197"/>
      <c r="S118" s="15"/>
      <c r="T118" s="15"/>
      <c r="U118" s="218"/>
      <c r="V118" s="218"/>
      <c r="W118" s="218"/>
      <c r="X118" s="218"/>
      <c r="Y118" s="218"/>
      <c r="Z118" s="218"/>
    </row>
    <row r="119" s="74" customFormat="true" ht="11.25" hidden="false" customHeight="true" outlineLevel="2" collapsed="false">
      <c r="A119" s="15"/>
      <c r="B119" s="196"/>
      <c r="C119" s="49" t="s">
        <v>189</v>
      </c>
      <c r="D119" s="49"/>
      <c r="E119" s="49"/>
      <c r="F119" s="50" t="s">
        <v>190</v>
      </c>
      <c r="G119" s="50" t="s">
        <v>191</v>
      </c>
      <c r="H119" s="52" t="s">
        <v>65</v>
      </c>
      <c r="I119" s="52" t="str">
        <f aca="false">IF($D$29=$D$30,"inkl. index 0%","inkl. index 0%")</f>
        <v>inkl. index 0%</v>
      </c>
      <c r="J119" s="52" t="s">
        <v>65</v>
      </c>
      <c r="K119" s="52" t="s">
        <v>66</v>
      </c>
      <c r="L119" s="52" t="s">
        <v>65</v>
      </c>
      <c r="M119" s="52" t="s">
        <v>66</v>
      </c>
      <c r="N119" s="52" t="s">
        <v>65</v>
      </c>
      <c r="O119" s="52" t="s">
        <v>66</v>
      </c>
      <c r="P119" s="52" t="s">
        <v>65</v>
      </c>
      <c r="Q119" s="75" t="s">
        <v>66</v>
      </c>
      <c r="R119" s="197"/>
      <c r="S119" s="15"/>
      <c r="T119" s="15"/>
      <c r="U119" s="77" t="s">
        <v>192</v>
      </c>
      <c r="V119" s="77"/>
      <c r="W119" s="77"/>
      <c r="X119" s="77"/>
      <c r="Y119" s="77"/>
      <c r="Z119" s="77"/>
      <c r="AA119" s="219"/>
    </row>
    <row r="120" customFormat="false" ht="14.45" hidden="false" customHeight="true" outlineLevel="2" collapsed="false">
      <c r="B120" s="19"/>
      <c r="C120" s="53" t="s">
        <v>193</v>
      </c>
      <c r="D120" s="53"/>
      <c r="E120" s="53"/>
      <c r="F120" s="56" t="s">
        <v>194</v>
      </c>
      <c r="G120" s="55"/>
      <c r="H120" s="56"/>
      <c r="I120" s="54" t="n">
        <f aca="false">IFERROR(IF((H$118-$D$30)&gt;=((IF(LEN($F120)=4,LEFT($F120,1),LEFT($F120,2)))*1),"*livslängd &lt; proj-tid",(($G120/(IF(LEN($F120)=4,LEFT($F120,1),LEFT($F120,2))))*H120)*((1+(MID(I$119,12,2))/100)^(H$118-$D$29))),0)</f>
        <v>0</v>
      </c>
      <c r="J120" s="56"/>
      <c r="K120" s="54" t="n">
        <f aca="false">IFERROR(IF((J$118-$D$30)&gt;=((IF(LEN($F120)=4,LEFT($F120,1),LEFT($F120,2)))*1),"*livslängd &lt; proj-tid",(($G120/(IF(LEN($F120)=4,LEFT($F120,1),LEFT($F120,2))))*J120)*((1+(MID(K$119,12,2))/100)^(J$118-$D$29))),0)</f>
        <v>0</v>
      </c>
      <c r="L120" s="56"/>
      <c r="M120" s="54" t="n">
        <f aca="false">IFERROR(IF((L$118-$D$30)&gt;=((IF(LEN($F120)=4,LEFT($F120,1),LEFT($F120,2)))*1),"*livslängd &lt; proj-tid",(($G120/(IF(LEN($F120)=4,LEFT($F120,1),LEFT($F120,2))))*L120)*((1+(MID(M$119,12,2))/100)^(L$118-$D$29))),0)</f>
        <v>0</v>
      </c>
      <c r="N120" s="56"/>
      <c r="O120" s="54" t="n">
        <f aca="false">IFERROR(IF((N$118-$D$30)&gt;=((IF(LEN($F120)=4,LEFT($F120,1),LEFT($F120,2)))*1),"*livslängd &lt; proj-tid",(($G120/(IF(LEN($F120)=4,LEFT($F120,1),LEFT($F120,2))))*N120)*((1+(MID(O$119,12,2))/100)^(N$118-$D$29))),0)</f>
        <v>0</v>
      </c>
      <c r="P120" s="56"/>
      <c r="Q120" s="76" t="n">
        <f aca="false">IFERROR(IF((P$118-$D$30)&gt;=((IF(LEN($F120)=4,LEFT($F120,1),LEFT($F120,2)))*1),"*livslängd &lt; proj-tid",(($G120/(IF(LEN($F120)=4,LEFT($F120,1),LEFT($F120,2))))*P120)*((1+(MID(Q$119,12,2))/100)^(P$118-$D$29))),0)</f>
        <v>0</v>
      </c>
      <c r="R120" s="20"/>
      <c r="U120" s="77"/>
      <c r="V120" s="77"/>
      <c r="W120" s="77"/>
      <c r="X120" s="77"/>
      <c r="Y120" s="77"/>
      <c r="Z120" s="77"/>
    </row>
    <row r="121" customFormat="false" ht="14.45" hidden="false" customHeight="true" outlineLevel="2" collapsed="false">
      <c r="B121" s="19"/>
      <c r="C121" s="53"/>
      <c r="D121" s="53"/>
      <c r="E121" s="53"/>
      <c r="F121" s="56"/>
      <c r="G121" s="55"/>
      <c r="H121" s="56"/>
      <c r="I121" s="54" t="n">
        <f aca="false">IFERROR(IF((H$118-$D$30)&gt;=((IF(LEN($F121)=4,LEFT($F121,1),LEFT($F121,2)))*1),"*livslängd &lt; proj-tid",(($G121/(IF(LEN($F121)=4,LEFT($F121,1),LEFT($F121,2))))*H121)*((1+(MID(I$119,12,2))/100)^(H$118-$D$29))),0)</f>
        <v>0</v>
      </c>
      <c r="J121" s="56"/>
      <c r="K121" s="54" t="n">
        <f aca="false">IFERROR(IF((J$118-$D$30)&gt;=((IF(LEN($F121)=4,LEFT($F121,1),LEFT($F121,2)))*1),"*livslängd &lt; proj-tid",(($G121/(IF(LEN($F121)=4,LEFT($F121,1),LEFT($F121,2))))*J121)*((1+(MID(K$119,12,2))/100)^(J$118-$D$29))),0)</f>
        <v>0</v>
      </c>
      <c r="L121" s="56"/>
      <c r="M121" s="54" t="n">
        <f aca="false">IFERROR(IF((L$118-$D$30)&gt;=((IF(LEN($F121)=4,LEFT($F121,1),LEFT($F121,2)))*1),"*livslängd &lt; proj-tid",(($G121/(IF(LEN($F121)=4,LEFT($F121,1),LEFT($F121,2))))*L121)*((1+(MID(M$119,12,2))/100)^(L$118-$D$29))),0)</f>
        <v>0</v>
      </c>
      <c r="N121" s="56"/>
      <c r="O121" s="54" t="n">
        <f aca="false">IFERROR(IF((N$118-$D$30)&gt;=((IF(LEN($F121)=4,LEFT($F121,1),LEFT($F121,2)))*1),"*livslängd &lt; proj-tid",(($G121/(IF(LEN($F121)=4,LEFT($F121,1),LEFT($F121,2))))*N121)*((1+(MID(O$119,12,2))/100)^(N$118-$D$29))),0)</f>
        <v>0</v>
      </c>
      <c r="P121" s="56"/>
      <c r="Q121" s="76" t="n">
        <f aca="false">IFERROR(IF((P$118-$D$30)&gt;=((IF(LEN($F121)=4,LEFT($F121,1),LEFT($F121,2)))*1),"*livslängd &lt; proj-tid",(($G121/(IF(LEN($F121)=4,LEFT($F121,1),LEFT($F121,2))))*P121)*((1+(MID(Q$119,12,2))/100)^(P$118-$D$29))),0)</f>
        <v>0</v>
      </c>
      <c r="R121" s="20"/>
      <c r="U121" s="77"/>
      <c r="V121" s="77"/>
      <c r="W121" s="77"/>
      <c r="X121" s="77"/>
      <c r="Y121" s="77"/>
      <c r="Z121" s="77"/>
    </row>
    <row r="122" customFormat="false" ht="14.25" hidden="false" customHeight="false" outlineLevel="2" collapsed="false">
      <c r="B122" s="19"/>
      <c r="C122" s="83"/>
      <c r="D122" s="84"/>
      <c r="E122" s="84"/>
      <c r="F122" s="85"/>
      <c r="G122" s="85"/>
      <c r="Q122" s="26"/>
      <c r="R122" s="20"/>
      <c r="U122" s="77"/>
      <c r="V122" s="77"/>
      <c r="W122" s="77"/>
      <c r="X122" s="77"/>
      <c r="Y122" s="77"/>
      <c r="Z122" s="77"/>
    </row>
    <row r="123" s="7" customFormat="true" ht="11.45" hidden="false" customHeight="true" outlineLevel="2" collapsed="false">
      <c r="A123" s="6"/>
      <c r="B123" s="19"/>
      <c r="C123" s="46"/>
      <c r="H123" s="78" t="n">
        <f aca="false">IF($D$30="","",IF($D$29&gt;$D$30,"Fel i grunduppgifter",$D$30))</f>
        <v>2023</v>
      </c>
      <c r="I123" s="78"/>
      <c r="J123" s="78" t="n">
        <f aca="false">IFERROR(H123+1,"")</f>
        <v>2024</v>
      </c>
      <c r="K123" s="78"/>
      <c r="L123" s="78" t="n">
        <f aca="false">IFERROR(J123+1,"")</f>
        <v>2025</v>
      </c>
      <c r="M123" s="78"/>
      <c r="N123" s="78" t="n">
        <f aca="false">IFERROR(L123+1,"")</f>
        <v>2026</v>
      </c>
      <c r="O123" s="78"/>
      <c r="P123" s="79" t="n">
        <f aca="false">IFERROR(N123+1,"")</f>
        <v>2027</v>
      </c>
      <c r="Q123" s="79"/>
      <c r="R123" s="20"/>
      <c r="S123" s="6"/>
      <c r="T123" s="6"/>
      <c r="U123" s="77"/>
      <c r="V123" s="77"/>
      <c r="W123" s="77"/>
      <c r="X123" s="77"/>
      <c r="Y123" s="77"/>
      <c r="Z123" s="77"/>
      <c r="AA123" s="183"/>
    </row>
    <row r="124" customFormat="false" ht="14.25" hidden="false" customHeight="true" outlineLevel="2" collapsed="false">
      <c r="B124" s="19"/>
      <c r="C124" s="82" t="s">
        <v>195</v>
      </c>
      <c r="D124" s="82"/>
      <c r="E124" s="82"/>
      <c r="F124" s="86" t="s">
        <v>196</v>
      </c>
      <c r="G124" s="86" t="s">
        <v>197</v>
      </c>
      <c r="H124" s="52" t="s">
        <v>65</v>
      </c>
      <c r="I124" s="52" t="str">
        <f aca="false">IF($D$29=$D$30,"inkl. index 0%","inkl. index 0%")</f>
        <v>inkl. index 0%</v>
      </c>
      <c r="J124" s="52" t="s">
        <v>65</v>
      </c>
      <c r="K124" s="52" t="s">
        <v>66</v>
      </c>
      <c r="L124" s="52" t="s">
        <v>65</v>
      </c>
      <c r="M124" s="52" t="s">
        <v>66</v>
      </c>
      <c r="N124" s="52" t="s">
        <v>65</v>
      </c>
      <c r="O124" s="52" t="s">
        <v>66</v>
      </c>
      <c r="P124" s="52" t="s">
        <v>65</v>
      </c>
      <c r="Q124" s="52" t="s">
        <v>66</v>
      </c>
      <c r="R124" s="20"/>
      <c r="U124" s="77"/>
      <c r="V124" s="77"/>
      <c r="W124" s="77"/>
      <c r="X124" s="77"/>
      <c r="Y124" s="77"/>
      <c r="Z124" s="77"/>
    </row>
    <row r="125" customFormat="false" ht="14.25" hidden="false" customHeight="false" outlineLevel="2" collapsed="false">
      <c r="B125" s="19"/>
      <c r="C125" s="53" t="s">
        <v>198</v>
      </c>
      <c r="D125" s="53"/>
      <c r="E125" s="53"/>
      <c r="F125" s="80"/>
      <c r="G125" s="55" t="n">
        <v>4500</v>
      </c>
      <c r="H125" s="56"/>
      <c r="I125" s="54" t="n">
        <f aca="false">IF(OR($D$29="",$D$30=""),"År saknas",(($F125*$G125)*H125)*((1+(MID(I$124,12,2))/100)^(H$123-$D$29)))</f>
        <v>0</v>
      </c>
      <c r="J125" s="56"/>
      <c r="K125" s="54" t="n">
        <f aca="false">IF(OR($D$29="",$D$30=""),"År saknas",(($F125*$G125)*J125)*((1+(MID(K$124,12,2))/100)^(J$123-$D$29)))</f>
        <v>0</v>
      </c>
      <c r="L125" s="56"/>
      <c r="M125" s="54" t="n">
        <f aca="false">IF(OR($D$29="",$D$30=""),"År saknas",(($F125*$G125)*L125)*((1+(MID(M$124,12,2))/100)^(L$123-$D$29)))</f>
        <v>0</v>
      </c>
      <c r="N125" s="56"/>
      <c r="O125" s="54" t="n">
        <f aca="false">IF(OR($D$29="",$D$30=""),"År saknas",(($F125*$G125)*N125)*((1+(MID(O$124,12,2))/100)^(N$123-$D$29)))</f>
        <v>0</v>
      </c>
      <c r="P125" s="56"/>
      <c r="Q125" s="76" t="n">
        <f aca="false">IF(OR($D$29="",$D$30=""),"År saknas",(($F125*$G125)*P125)*((1+(MID(Q$124,12,2))/100)^(P$123-$D$29)))</f>
        <v>0</v>
      </c>
      <c r="R125" s="20"/>
      <c r="U125" s="77"/>
      <c r="V125" s="77"/>
      <c r="W125" s="77"/>
      <c r="X125" s="77"/>
      <c r="Y125" s="77"/>
      <c r="Z125" s="77"/>
    </row>
    <row r="126" customFormat="false" ht="14.25" hidden="false" customHeight="false" outlineLevel="2" collapsed="false">
      <c r="B126" s="19"/>
      <c r="C126" s="53" t="s">
        <v>198</v>
      </c>
      <c r="D126" s="53"/>
      <c r="E126" s="53"/>
      <c r="F126" s="80"/>
      <c r="G126" s="55"/>
      <c r="H126" s="56"/>
      <c r="I126" s="54" t="n">
        <f aca="false">IF(OR($D$29="",$D$30=""),"År saknas",(($F126*$G126)*H126)*((1+(MID(I$124,12,2))/100)^(H$123-$D$29)))</f>
        <v>0</v>
      </c>
      <c r="J126" s="56"/>
      <c r="K126" s="54" t="n">
        <f aca="false">IF(OR($D$29="",$D$30=""),"År saknas",(($F126*$G126)*J126)*((1+(MID(K$124,12,2))/100)^(J$123-$D$29)))</f>
        <v>0</v>
      </c>
      <c r="L126" s="56"/>
      <c r="M126" s="54" t="n">
        <f aca="false">IF(OR($D$29="",$D$30=""),"År saknas",(($F126*$G126)*L126)*((1+(MID(M$124,12,2))/100)^(L$123-$D$29)))</f>
        <v>0</v>
      </c>
      <c r="N126" s="56"/>
      <c r="O126" s="54" t="n">
        <f aca="false">IF(OR($D$29="",$D$30=""),"År saknas",(($F126*$G126)*N126)*((1+(MID(O$124,12,2))/100)^(N$123-$D$29)))</f>
        <v>0</v>
      </c>
      <c r="P126" s="56"/>
      <c r="Q126" s="76" t="n">
        <f aca="false">IF(OR($D$29="",$D$30=""),"År saknas",(($F126*$G126)*P126)*((1+(MID(Q$124,12,2))/100)^(P$123-$D$29)))</f>
        <v>0</v>
      </c>
      <c r="R126" s="20"/>
      <c r="U126" s="77"/>
      <c r="V126" s="77"/>
      <c r="W126" s="77"/>
      <c r="X126" s="77"/>
      <c r="Y126" s="77"/>
      <c r="Z126" s="77"/>
    </row>
    <row r="127" customFormat="false" ht="14.25" hidden="false" customHeight="false" outlineLevel="2" collapsed="false">
      <c r="B127" s="19"/>
      <c r="C127" s="53"/>
      <c r="D127" s="53"/>
      <c r="E127" s="53"/>
      <c r="F127" s="80"/>
      <c r="G127" s="55"/>
      <c r="H127" s="56"/>
      <c r="I127" s="54" t="n">
        <f aca="false">IF(OR($D$29="",$D$30=""),"År saknas",(($F127*$G127)*H127)*((1+(MID(I$124,12,2))/100)^(H$123-$D$29)))</f>
        <v>0</v>
      </c>
      <c r="J127" s="56"/>
      <c r="K127" s="54" t="n">
        <f aca="false">IF(OR($D$29="",$D$30=""),"År saknas",(($F127*$G127)*J127)*((1+(MID(K$124,12,2))/100)^(J$123-$D$29)))</f>
        <v>0</v>
      </c>
      <c r="L127" s="56"/>
      <c r="M127" s="54" t="n">
        <f aca="false">IF(OR($D$29="",$D$30=""),"År saknas",(($F127*$G127)*L127)*((1+(MID(M$124,12,2))/100)^(L$123-$D$29)))</f>
        <v>0</v>
      </c>
      <c r="N127" s="56"/>
      <c r="O127" s="54" t="n">
        <f aca="false">IF(OR($D$29="",$D$30=""),"År saknas",(($F127*$G127)*N127)*((1+(MID(O$124,12,2))/100)^(N$123-$D$29)))</f>
        <v>0</v>
      </c>
      <c r="P127" s="56"/>
      <c r="Q127" s="76" t="n">
        <f aca="false">IF(OR($D$29="",$D$30=""),"År saknas",(($F127*$G127)*P127)*((1+(MID(Q$124,12,2))/100)^(P$123-$D$29)))</f>
        <v>0</v>
      </c>
      <c r="R127" s="20"/>
      <c r="U127" s="77"/>
      <c r="V127" s="77"/>
      <c r="W127" s="77"/>
      <c r="X127" s="77"/>
      <c r="Y127" s="77"/>
      <c r="Z127" s="77"/>
    </row>
    <row r="128" customFormat="false" ht="11.45" hidden="false" customHeight="true" outlineLevel="2" collapsed="false">
      <c r="B128" s="19"/>
      <c r="C128" s="25"/>
      <c r="Q128" s="26"/>
      <c r="R128" s="20"/>
      <c r="U128" s="77"/>
      <c r="V128" s="77"/>
      <c r="W128" s="77"/>
      <c r="X128" s="77"/>
      <c r="Y128" s="77"/>
      <c r="Z128" s="77"/>
    </row>
    <row r="129" s="7" customFormat="true" ht="11.45" hidden="false" customHeight="true" outlineLevel="2" collapsed="false">
      <c r="A129" s="6"/>
      <c r="B129" s="19"/>
      <c r="C129" s="46"/>
      <c r="H129" s="78" t="n">
        <f aca="false">IF($D$30="","",IF($D$29&gt;$D$30,"Fel i grunduppgifter",$D$30))</f>
        <v>2023</v>
      </c>
      <c r="I129" s="78"/>
      <c r="J129" s="78" t="n">
        <f aca="false">IFERROR(H129+1,"")</f>
        <v>2024</v>
      </c>
      <c r="K129" s="78"/>
      <c r="L129" s="78" t="n">
        <f aca="false">IFERROR(J129+1,"")</f>
        <v>2025</v>
      </c>
      <c r="M129" s="78"/>
      <c r="N129" s="78" t="n">
        <f aca="false">IFERROR(L129+1,"")</f>
        <v>2026</v>
      </c>
      <c r="O129" s="78"/>
      <c r="P129" s="79" t="n">
        <f aca="false">IFERROR(N129+1,"")</f>
        <v>2027</v>
      </c>
      <c r="Q129" s="79"/>
      <c r="R129" s="20"/>
      <c r="S129" s="6"/>
      <c r="T129" s="6"/>
      <c r="U129" s="77"/>
      <c r="V129" s="77"/>
      <c r="W129" s="77"/>
      <c r="X129" s="77"/>
      <c r="Y129" s="77"/>
      <c r="Z129" s="77"/>
      <c r="AA129" s="183"/>
    </row>
    <row r="130" customFormat="false" ht="13.9" hidden="false" customHeight="true" outlineLevel="2" collapsed="false">
      <c r="B130" s="19"/>
      <c r="C130" s="82" t="s">
        <v>199</v>
      </c>
      <c r="D130" s="82"/>
      <c r="E130" s="82"/>
      <c r="F130" s="82"/>
      <c r="G130" s="50" t="s">
        <v>44</v>
      </c>
      <c r="H130" s="52" t="s">
        <v>45</v>
      </c>
      <c r="I130" s="52" t="str">
        <f aca="false">IF($D$29=$D$30,"inkl. index 0%","inkl. index 0%")</f>
        <v>inkl. index 0%</v>
      </c>
      <c r="J130" s="52" t="s">
        <v>45</v>
      </c>
      <c r="K130" s="52" t="s">
        <v>66</v>
      </c>
      <c r="L130" s="52" t="s">
        <v>45</v>
      </c>
      <c r="M130" s="52" t="s">
        <v>66</v>
      </c>
      <c r="N130" s="52" t="s">
        <v>45</v>
      </c>
      <c r="O130" s="52" t="s">
        <v>66</v>
      </c>
      <c r="P130" s="52" t="s">
        <v>45</v>
      </c>
      <c r="Q130" s="75" t="s">
        <v>66</v>
      </c>
      <c r="R130" s="20"/>
      <c r="U130" s="77"/>
      <c r="V130" s="77"/>
      <c r="W130" s="77"/>
      <c r="X130" s="77"/>
      <c r="Y130" s="77"/>
      <c r="Z130" s="77"/>
    </row>
    <row r="131" customFormat="false" ht="14.25" hidden="false" customHeight="false" outlineLevel="2" collapsed="false">
      <c r="B131" s="19"/>
      <c r="C131" s="53" t="s">
        <v>200</v>
      </c>
      <c r="D131" s="53"/>
      <c r="E131" s="53"/>
      <c r="F131" s="53"/>
      <c r="G131" s="55"/>
      <c r="H131" s="56"/>
      <c r="I131" s="54" t="n">
        <f aca="false">IF(OR($D$29="",$D$30=""),"År saknas",(($G131)*H131)*((1+(MID(I$130,12,2))/100)^(H$129-$D$29)))</f>
        <v>0</v>
      </c>
      <c r="J131" s="56"/>
      <c r="K131" s="54" t="n">
        <f aca="false">IF(OR($D$29="",$D$30=""),"År saknas",(($G131)*J131)*((1+(MID(K$130,12,2))/100)^(J$129-$D$29)))</f>
        <v>0</v>
      </c>
      <c r="L131" s="56"/>
      <c r="M131" s="54" t="n">
        <f aca="false">IF(OR($D$29="",$D$30=""),"År saknas",(($G131)*L131)*((1+(MID(M$130,12,2))/100)^(L$129-$D$29)))</f>
        <v>0</v>
      </c>
      <c r="N131" s="56"/>
      <c r="O131" s="54" t="n">
        <f aca="false">IF(OR($D$29="",$D$30=""),"År saknas",(($G131)*N131)*((1+(MID(O$130,12,2))/100)^(N$129-$D$29)))</f>
        <v>0</v>
      </c>
      <c r="P131" s="56"/>
      <c r="Q131" s="54" t="n">
        <f aca="false">IF(OR($D$29="",$D$30=""),"År saknas",(($G131)*P131)*((1+(MID(Q$130,12,2))/100)^(P$129-$D$29)))</f>
        <v>0</v>
      </c>
      <c r="R131" s="20"/>
      <c r="U131" s="77"/>
      <c r="V131" s="77"/>
      <c r="W131" s="77"/>
      <c r="X131" s="77"/>
      <c r="Y131" s="77"/>
      <c r="Z131" s="77"/>
    </row>
    <row r="132" customFormat="false" ht="14.25" hidden="false" customHeight="false" outlineLevel="2" collapsed="false">
      <c r="B132" s="19"/>
      <c r="C132" s="53"/>
      <c r="D132" s="53"/>
      <c r="E132" s="53"/>
      <c r="F132" s="53"/>
      <c r="G132" s="55"/>
      <c r="H132" s="56"/>
      <c r="I132" s="54" t="n">
        <f aca="false">IF(OR($D$29="",$D$30=""),"År saknas",(($G132)*H132)*((1+(MID(I$130,12,2))/100)^(H$129-$D$29)))</f>
        <v>0</v>
      </c>
      <c r="J132" s="56"/>
      <c r="K132" s="54" t="n">
        <f aca="false">IF(OR($D$29="",$D$30=""),"År saknas",(($G132)*J132)*((1+(MID(K$130,12,2))/100)^(J$129-$D$29)))</f>
        <v>0</v>
      </c>
      <c r="L132" s="56"/>
      <c r="M132" s="54" t="n">
        <f aca="false">IF(OR($D$29="",$D$30=""),"År saknas",(($G132)*L132)*((1+(MID(M$130,12,2))/100)^(L$129-$D$29)))</f>
        <v>0</v>
      </c>
      <c r="N132" s="56"/>
      <c r="O132" s="54" t="n">
        <f aca="false">IF(OR($D$29="",$D$30=""),"År saknas",(($G132)*N132)*((1+(MID(O$130,12,2))/100)^(N$129-$D$29)))</f>
        <v>0</v>
      </c>
      <c r="P132" s="56"/>
      <c r="Q132" s="54" t="n">
        <f aca="false">IF(OR($D$29="",$D$30=""),"År saknas",(($G132)*P132)*((1+(MID(Q$130,12,2))/100)^(P$129-$D$29)))</f>
        <v>0</v>
      </c>
      <c r="R132" s="20"/>
      <c r="U132" s="77"/>
      <c r="V132" s="77"/>
      <c r="W132" s="77"/>
      <c r="X132" s="77"/>
      <c r="Y132" s="77"/>
      <c r="Z132" s="77"/>
    </row>
    <row r="133" customFormat="false" ht="14.25" hidden="false" customHeight="false" outlineLevel="2" collapsed="false">
      <c r="B133" s="19"/>
      <c r="C133" s="53"/>
      <c r="D133" s="53"/>
      <c r="E133" s="53"/>
      <c r="F133" s="53"/>
      <c r="G133" s="55"/>
      <c r="H133" s="56"/>
      <c r="I133" s="54" t="n">
        <f aca="false">IF(OR($D$29="",$D$30=""),"År saknas",(($G133)*H133)*((1+(MID(I$130,12,2))/100)^(H$129-$D$29)))</f>
        <v>0</v>
      </c>
      <c r="J133" s="56"/>
      <c r="K133" s="54" t="n">
        <f aca="false">IF(OR($D$29="",$D$30=""),"År saknas",(($G133)*J133)*((1+(MID(K$130,12,2))/100)^(J$129-$D$29)))</f>
        <v>0</v>
      </c>
      <c r="L133" s="56"/>
      <c r="M133" s="54" t="n">
        <f aca="false">IF(OR($D$29="",$D$30=""),"År saknas",(($G133)*L133)*((1+(MID(M$130,12,2))/100)^(L$129-$D$29)))</f>
        <v>0</v>
      </c>
      <c r="N133" s="56"/>
      <c r="O133" s="54" t="n">
        <f aca="false">IF(OR($D$29="",$D$30=""),"År saknas",(($G133)*N133)*((1+(MID(O$130,12,2))/100)^(N$129-$D$29)))</f>
        <v>0</v>
      </c>
      <c r="P133" s="56"/>
      <c r="Q133" s="54" t="n">
        <f aca="false">IF(OR($D$29="",$D$30=""),"År saknas",(($G133)*P133)*((1+(MID(Q$130,12,2))/100)^(P$129-$D$29)))</f>
        <v>0</v>
      </c>
      <c r="R133" s="20"/>
      <c r="U133" s="77"/>
      <c r="V133" s="77"/>
      <c r="W133" s="77"/>
      <c r="X133" s="77"/>
      <c r="Y133" s="77"/>
      <c r="Z133" s="77"/>
    </row>
    <row r="134" customFormat="false" ht="12" hidden="false" customHeight="false" outlineLevel="2" collapsed="false">
      <c r="B134" s="19"/>
      <c r="C134" s="25"/>
      <c r="Q134" s="26"/>
      <c r="R134" s="20"/>
      <c r="U134" s="77"/>
      <c r="V134" s="77"/>
      <c r="W134" s="77"/>
      <c r="X134" s="77"/>
      <c r="Y134" s="77"/>
      <c r="Z134" s="77"/>
    </row>
    <row r="135" customFormat="false" ht="14.25" hidden="false" customHeight="false" outlineLevel="1" collapsed="false">
      <c r="B135" s="19"/>
      <c r="C135" s="57" t="s">
        <v>201</v>
      </c>
      <c r="D135" s="57"/>
      <c r="E135" s="57"/>
      <c r="F135" s="57"/>
      <c r="G135" s="57"/>
      <c r="H135" s="60" t="n">
        <f aca="false">SUM(I$120:I121)+SUM(I$131:I133)+SUM(I$125:I127)</f>
        <v>0</v>
      </c>
      <c r="I135" s="60"/>
      <c r="J135" s="60" t="n">
        <f aca="false">SUM(K$120:K121)+SUM(K$131:K133)+SUM(K$125:K127)</f>
        <v>0</v>
      </c>
      <c r="K135" s="60"/>
      <c r="L135" s="60" t="n">
        <f aca="false">SUM(M$120:M121)+SUM(M$131:M133)+SUM(M$125:M127)</f>
        <v>0</v>
      </c>
      <c r="M135" s="60"/>
      <c r="N135" s="60" t="n">
        <f aca="false">SUM(O$120:O121)+SUM(O$131:O133)+SUM(O$125:O127)</f>
        <v>0</v>
      </c>
      <c r="O135" s="60"/>
      <c r="P135" s="61" t="n">
        <f aca="false">SUM(Q$120:Q121)+SUM(Q$131:Q133)+SUM(Q$125:Q127)</f>
        <v>0</v>
      </c>
      <c r="Q135" s="61"/>
      <c r="R135" s="20"/>
      <c r="U135" s="77"/>
      <c r="V135" s="77"/>
      <c r="W135" s="77"/>
      <c r="X135" s="77"/>
      <c r="Y135" s="77"/>
      <c r="Z135" s="77"/>
    </row>
    <row r="136" customFormat="false" ht="12" hidden="false" customHeight="false" outlineLevel="1" collapsed="false">
      <c r="B136" s="19"/>
      <c r="C136" s="25"/>
      <c r="Q136" s="26"/>
      <c r="R136" s="20"/>
      <c r="U136" s="77"/>
      <c r="V136" s="77"/>
      <c r="W136" s="77"/>
      <c r="X136" s="77"/>
      <c r="Y136" s="77"/>
      <c r="Z136" s="77"/>
    </row>
    <row r="137" customFormat="false" ht="14.25" hidden="false" customHeight="true" outlineLevel="0" collapsed="false">
      <c r="B137" s="19"/>
      <c r="C137" s="87" t="s">
        <v>202</v>
      </c>
      <c r="D137" s="87"/>
      <c r="E137" s="87"/>
      <c r="F137" s="88"/>
      <c r="G137" s="89"/>
      <c r="H137" s="67" t="n">
        <f aca="false">H135+H114+H98</f>
        <v>357000</v>
      </c>
      <c r="I137" s="67"/>
      <c r="J137" s="67" t="n">
        <f aca="false">J135+J114+J98</f>
        <v>153000</v>
      </c>
      <c r="K137" s="67"/>
      <c r="L137" s="67" t="n">
        <f aca="false">L135+L114+L98</f>
        <v>0</v>
      </c>
      <c r="M137" s="67"/>
      <c r="N137" s="67" t="n">
        <f aca="false">N135+N114+N98</f>
        <v>0</v>
      </c>
      <c r="O137" s="67"/>
      <c r="P137" s="67" t="n">
        <f aca="false">P135+P114+P98</f>
        <v>0</v>
      </c>
      <c r="Q137" s="67"/>
      <c r="R137" s="20"/>
      <c r="U137" s="77"/>
      <c r="V137" s="77"/>
      <c r="W137" s="77"/>
      <c r="X137" s="77"/>
      <c r="Y137" s="77"/>
      <c r="Z137" s="77"/>
    </row>
    <row r="138" customFormat="false" ht="12" hidden="false" customHeight="true" outlineLevel="0" collapsed="false">
      <c r="B138" s="19"/>
      <c r="C138" s="25"/>
      <c r="Q138" s="26"/>
      <c r="R138" s="20"/>
      <c r="U138" s="214" t="s">
        <v>203</v>
      </c>
      <c r="V138" s="214"/>
      <c r="W138" s="214"/>
      <c r="X138" s="214"/>
      <c r="Y138" s="214"/>
      <c r="Z138" s="214"/>
    </row>
    <row r="139" customFormat="false" ht="13.9" hidden="false" customHeight="true" outlineLevel="0" collapsed="false">
      <c r="B139" s="19"/>
      <c r="C139" s="41" t="s">
        <v>204</v>
      </c>
      <c r="Q139" s="26"/>
      <c r="R139" s="20"/>
      <c r="U139" s="214"/>
      <c r="V139" s="214"/>
      <c r="W139" s="214"/>
      <c r="X139" s="214"/>
      <c r="Y139" s="214"/>
      <c r="Z139" s="214"/>
    </row>
    <row r="140" customFormat="false" ht="13.9" hidden="false" customHeight="true" outlineLevel="2" collapsed="false">
      <c r="B140" s="19"/>
      <c r="C140" s="207" t="str">
        <f aca="false">IF(LEFT($D$28,2)="UF",$D$28,"Universitetsgem.")</f>
        <v>Universitetsgem.</v>
      </c>
      <c r="D140" s="207"/>
      <c r="E140" s="207"/>
      <c r="F140" s="207"/>
      <c r="G140" s="91" t="n">
        <f aca="false">IF($D$28="",0,IF(LEFT($D$28,2)="UF",VLOOKUP($C$140,'INDI FO 2021'!$C:$G,5,0),VLOOKUP(LEFT($D$28,2),'INDI FO 2021'!$A:$G,6,0)))</f>
        <v>0.15</v>
      </c>
      <c r="M140" s="7"/>
      <c r="N140" s="7"/>
      <c r="O140" s="7"/>
      <c r="P140" s="7"/>
      <c r="Q140" s="92"/>
      <c r="R140" s="20"/>
      <c r="U140" s="214"/>
      <c r="V140" s="214"/>
      <c r="W140" s="214"/>
      <c r="X140" s="214"/>
      <c r="Y140" s="214"/>
      <c r="Z140" s="214"/>
    </row>
    <row r="141" customFormat="false" ht="14.25" hidden="false" customHeight="false" outlineLevel="2" collapsed="false">
      <c r="B141" s="19"/>
      <c r="C141" s="207" t="str">
        <f aca="false">IF(LEFT($D$28,2)="UF","","Institutionsgem.")</f>
        <v>Institutionsgem.</v>
      </c>
      <c r="D141" s="207"/>
      <c r="E141" s="207"/>
      <c r="F141" s="207"/>
      <c r="G141" s="91" t="n">
        <f aca="false">IF($D$28="",0,IF(LEFT($D$28,2)="UF","",VLOOKUP(LEFT($D$28,2),'INDI FO 2021'!$A:$G,4,0)))</f>
        <v>0.104</v>
      </c>
      <c r="M141" s="7"/>
      <c r="N141" s="7"/>
      <c r="O141" s="7"/>
      <c r="P141" s="7"/>
      <c r="Q141" s="92"/>
      <c r="R141" s="20"/>
      <c r="U141" s="214"/>
      <c r="V141" s="214"/>
      <c r="W141" s="214"/>
      <c r="X141" s="214"/>
      <c r="Y141" s="214"/>
      <c r="Z141" s="214"/>
    </row>
    <row r="142" customFormat="false" ht="12" hidden="false" customHeight="false" outlineLevel="2" collapsed="false">
      <c r="B142" s="19"/>
      <c r="C142" s="90" t="s">
        <v>80</v>
      </c>
      <c r="D142" s="90"/>
      <c r="E142" s="90"/>
      <c r="F142" s="90"/>
      <c r="G142" s="93" t="n">
        <v>0</v>
      </c>
      <c r="M142" s="7"/>
      <c r="N142" s="7"/>
      <c r="O142" s="7"/>
      <c r="P142" s="7"/>
      <c r="Q142" s="92"/>
      <c r="R142" s="20"/>
      <c r="U142" s="214"/>
      <c r="V142" s="214"/>
      <c r="W142" s="214"/>
      <c r="X142" s="214"/>
      <c r="Y142" s="214"/>
      <c r="Z142" s="214"/>
    </row>
    <row r="143" customFormat="false" ht="11.45" hidden="false" customHeight="true" outlineLevel="1" collapsed="false">
      <c r="B143" s="19"/>
      <c r="C143" s="25"/>
      <c r="F143" s="64" t="s">
        <v>205</v>
      </c>
      <c r="G143" s="65" t="n">
        <f aca="false">SUM(G140:G142)</f>
        <v>0.254</v>
      </c>
      <c r="M143" s="7"/>
      <c r="N143" s="7"/>
      <c r="O143" s="7"/>
      <c r="P143" s="7"/>
      <c r="Q143" s="92"/>
      <c r="R143" s="20"/>
      <c r="U143" s="214"/>
      <c r="V143" s="214"/>
      <c r="W143" s="214"/>
      <c r="X143" s="214"/>
      <c r="Y143" s="214"/>
      <c r="Z143" s="214"/>
    </row>
    <row r="144" customFormat="false" ht="11.45" hidden="false" customHeight="true" outlineLevel="1" collapsed="false">
      <c r="B144" s="19"/>
      <c r="C144" s="25"/>
      <c r="Q144" s="26"/>
      <c r="R144" s="20"/>
      <c r="U144" s="214"/>
      <c r="V144" s="214"/>
      <c r="W144" s="214"/>
      <c r="X144" s="214"/>
      <c r="Y144" s="214"/>
      <c r="Z144" s="214"/>
    </row>
    <row r="145" customFormat="false" ht="14.25" hidden="false" customHeight="true" outlineLevel="0" collapsed="false">
      <c r="B145" s="19"/>
      <c r="C145" s="87" t="s">
        <v>206</v>
      </c>
      <c r="D145" s="87"/>
      <c r="E145" s="87"/>
      <c r="F145" s="88"/>
      <c r="G145" s="89"/>
      <c r="H145" s="67" t="n">
        <f aca="false">(H75+H114+H98)*$G$143</f>
        <v>90678</v>
      </c>
      <c r="I145" s="67"/>
      <c r="J145" s="67" t="n">
        <f aca="false">(J75+J114+J98)*$G$143</f>
        <v>38862</v>
      </c>
      <c r="K145" s="67"/>
      <c r="L145" s="67" t="n">
        <f aca="false">(L75+L114+L98)*$G$143</f>
        <v>0</v>
      </c>
      <c r="M145" s="67"/>
      <c r="N145" s="67" t="n">
        <f aca="false">(N75+N114+N98)*$G$143</f>
        <v>0</v>
      </c>
      <c r="O145" s="67"/>
      <c r="P145" s="67" t="n">
        <f aca="false">(P75+P114+P98)*$G$143</f>
        <v>0</v>
      </c>
      <c r="Q145" s="67"/>
      <c r="R145" s="20"/>
      <c r="U145" s="214"/>
      <c r="V145" s="214"/>
      <c r="W145" s="214"/>
      <c r="X145" s="214"/>
      <c r="Y145" s="214"/>
      <c r="Z145" s="214"/>
    </row>
    <row r="146" customFormat="false" ht="12" hidden="false" customHeight="false" outlineLevel="0" collapsed="false">
      <c r="B146" s="19"/>
      <c r="C146" s="25"/>
      <c r="Q146" s="26"/>
      <c r="R146" s="20"/>
      <c r="U146" s="214"/>
      <c r="V146" s="214"/>
      <c r="W146" s="214"/>
      <c r="X146" s="214"/>
      <c r="Y146" s="214"/>
      <c r="Z146" s="214"/>
    </row>
    <row r="147" customFormat="false" ht="12" hidden="false" customHeight="false" outlineLevel="0" collapsed="false">
      <c r="B147" s="19"/>
      <c r="C147" s="25"/>
      <c r="Q147" s="26"/>
      <c r="R147" s="20"/>
      <c r="U147" s="192"/>
      <c r="V147" s="193"/>
      <c r="W147" s="193"/>
      <c r="X147" s="193"/>
      <c r="Y147" s="193"/>
      <c r="Z147" s="194"/>
    </row>
    <row r="148" customFormat="false" ht="15.75" hidden="false" customHeight="false" outlineLevel="0" collapsed="false">
      <c r="B148" s="19"/>
      <c r="C148" s="100" t="s">
        <v>207</v>
      </c>
      <c r="D148" s="101"/>
      <c r="E148" s="101"/>
      <c r="F148" s="101"/>
      <c r="G148" s="101"/>
      <c r="H148" s="102" t="n">
        <f aca="false">H86+H137+H145</f>
        <v>447678</v>
      </c>
      <c r="I148" s="102"/>
      <c r="J148" s="102" t="n">
        <f aca="false">J86+J137+J145</f>
        <v>191862</v>
      </c>
      <c r="K148" s="102"/>
      <c r="L148" s="102" t="n">
        <f aca="false">L86+L137+L145</f>
        <v>0</v>
      </c>
      <c r="M148" s="102"/>
      <c r="N148" s="102" t="n">
        <f aca="false">N86+N137+N145</f>
        <v>0</v>
      </c>
      <c r="O148" s="102"/>
      <c r="P148" s="220" t="n">
        <f aca="false">P86+P137+P145</f>
        <v>0</v>
      </c>
      <c r="Q148" s="220"/>
      <c r="R148" s="20"/>
      <c r="U148" s="221"/>
      <c r="V148" s="222"/>
      <c r="W148" s="222"/>
      <c r="X148" s="222"/>
      <c r="Y148" s="222"/>
      <c r="Z148" s="223"/>
    </row>
    <row r="149" customFormat="false" ht="12" hidden="false" customHeight="false" outlineLevel="0" collapsed="false">
      <c r="B149" s="19"/>
      <c r="R149" s="20"/>
      <c r="U149" s="221"/>
      <c r="V149" s="222"/>
      <c r="W149" s="222"/>
      <c r="X149" s="222"/>
      <c r="Y149" s="222"/>
      <c r="Z149" s="223"/>
    </row>
    <row r="150" customFormat="false" ht="12" hidden="false" customHeight="false" outlineLevel="0" collapsed="false">
      <c r="B150" s="19"/>
      <c r="R150" s="20"/>
      <c r="U150" s="221"/>
      <c r="V150" s="222"/>
      <c r="W150" s="222"/>
      <c r="X150" s="222"/>
      <c r="Y150" s="222"/>
      <c r="Z150" s="223"/>
    </row>
    <row r="151" customFormat="false" ht="18" hidden="true" customHeight="true" outlineLevel="0" collapsed="false">
      <c r="B151" s="19"/>
      <c r="C151" s="21" t="s">
        <v>208</v>
      </c>
      <c r="D151" s="22"/>
      <c r="E151" s="22"/>
      <c r="F151" s="22"/>
      <c r="G151" s="22"/>
      <c r="H151" s="22"/>
      <c r="I151" s="22"/>
      <c r="J151" s="22"/>
      <c r="K151" s="22"/>
      <c r="L151" s="22"/>
      <c r="M151" s="22"/>
      <c r="N151" s="22"/>
      <c r="O151" s="22"/>
      <c r="P151" s="22"/>
      <c r="Q151" s="23"/>
      <c r="R151" s="20"/>
      <c r="U151" s="224" t="s">
        <v>209</v>
      </c>
      <c r="V151" s="224"/>
      <c r="W151" s="224"/>
      <c r="X151" s="224"/>
      <c r="Y151" s="224"/>
      <c r="Z151" s="224"/>
    </row>
    <row r="152" customFormat="false" ht="12" hidden="true" customHeight="false" outlineLevel="0" collapsed="false">
      <c r="B152" s="19"/>
      <c r="C152" s="25"/>
      <c r="Q152" s="26"/>
      <c r="R152" s="20"/>
      <c r="U152" s="224"/>
      <c r="V152" s="224"/>
      <c r="W152" s="224"/>
      <c r="X152" s="224"/>
      <c r="Y152" s="224"/>
      <c r="Z152" s="224"/>
    </row>
    <row r="153" customFormat="false" ht="15" hidden="true" customHeight="false" outlineLevel="0" collapsed="false">
      <c r="B153" s="19"/>
      <c r="C153" s="41" t="s">
        <v>210</v>
      </c>
      <c r="Q153" s="26"/>
      <c r="R153" s="20"/>
      <c r="U153" s="224"/>
      <c r="V153" s="224"/>
      <c r="W153" s="224"/>
      <c r="X153" s="224"/>
      <c r="Y153" s="224"/>
      <c r="Z153" s="224"/>
    </row>
    <row r="154" customFormat="false" ht="14.25" hidden="true" customHeight="false" outlineLevel="1" collapsed="false">
      <c r="B154" s="19"/>
      <c r="C154" s="27" t="s">
        <v>211</v>
      </c>
      <c r="D154" s="27"/>
      <c r="E154" s="27"/>
      <c r="F154" s="225" t="s">
        <v>212</v>
      </c>
      <c r="G154" s="225" t="s">
        <v>212</v>
      </c>
      <c r="H154" s="78" t="n">
        <f aca="false">IF($D$30="","",IF($D$29&gt;$D$30,"Fel i grunduppgifter",$D$30))</f>
        <v>2023</v>
      </c>
      <c r="I154" s="78"/>
      <c r="J154" s="78" t="n">
        <f aca="false">IFERROR(H154+1,"")</f>
        <v>2024</v>
      </c>
      <c r="K154" s="78"/>
      <c r="L154" s="78" t="n">
        <f aca="false">IFERROR(J154+1,"")</f>
        <v>2025</v>
      </c>
      <c r="M154" s="78"/>
      <c r="N154" s="78" t="n">
        <f aca="false">IFERROR(L154+1,"")</f>
        <v>2026</v>
      </c>
      <c r="O154" s="78"/>
      <c r="P154" s="79" t="n">
        <f aca="false">IFERROR(N154+1,"")</f>
        <v>2027</v>
      </c>
      <c r="Q154" s="79"/>
      <c r="R154" s="20"/>
      <c r="U154" s="224"/>
      <c r="V154" s="224"/>
      <c r="W154" s="224"/>
      <c r="X154" s="224"/>
      <c r="Y154" s="224"/>
      <c r="Z154" s="224"/>
    </row>
    <row r="155" customFormat="false" ht="14.25" hidden="true" customHeight="false" outlineLevel="1" collapsed="false">
      <c r="B155" s="19"/>
      <c r="C155" s="53" t="s">
        <v>213</v>
      </c>
      <c r="D155" s="53"/>
      <c r="E155" s="53"/>
      <c r="F155" s="225"/>
      <c r="G155" s="226"/>
      <c r="H155" s="227"/>
      <c r="I155" s="227"/>
      <c r="J155" s="227"/>
      <c r="K155" s="227"/>
      <c r="L155" s="227"/>
      <c r="M155" s="227"/>
      <c r="N155" s="227"/>
      <c r="O155" s="227"/>
      <c r="P155" s="228"/>
      <c r="Q155" s="228"/>
      <c r="R155" s="20"/>
      <c r="U155" s="224"/>
      <c r="V155" s="224"/>
      <c r="W155" s="224"/>
      <c r="X155" s="224"/>
      <c r="Y155" s="224"/>
      <c r="Z155" s="224"/>
    </row>
    <row r="156" customFormat="false" ht="14.25" hidden="true" customHeight="false" outlineLevel="1" collapsed="false">
      <c r="B156" s="19"/>
      <c r="C156" s="53" t="s">
        <v>214</v>
      </c>
      <c r="D156" s="53"/>
      <c r="E156" s="53"/>
      <c r="F156" s="225"/>
      <c r="G156" s="226"/>
      <c r="H156" s="227"/>
      <c r="I156" s="227"/>
      <c r="J156" s="227"/>
      <c r="K156" s="227"/>
      <c r="L156" s="227"/>
      <c r="M156" s="227"/>
      <c r="N156" s="227"/>
      <c r="O156" s="227"/>
      <c r="P156" s="228"/>
      <c r="Q156" s="228"/>
      <c r="R156" s="20"/>
      <c r="U156" s="224"/>
      <c r="V156" s="224"/>
      <c r="W156" s="224"/>
      <c r="X156" s="224"/>
      <c r="Y156" s="224"/>
      <c r="Z156" s="224"/>
    </row>
    <row r="157" customFormat="false" ht="14.25" hidden="true" customHeight="false" outlineLevel="1" collapsed="false">
      <c r="B157" s="19"/>
      <c r="C157" s="53"/>
      <c r="D157" s="53"/>
      <c r="E157" s="53"/>
      <c r="F157" s="225"/>
      <c r="G157" s="226"/>
      <c r="H157" s="229"/>
      <c r="I157" s="229"/>
      <c r="J157" s="229"/>
      <c r="K157" s="229"/>
      <c r="L157" s="229"/>
      <c r="M157" s="229"/>
      <c r="N157" s="227"/>
      <c r="O157" s="227"/>
      <c r="P157" s="228"/>
      <c r="Q157" s="228"/>
      <c r="R157" s="20"/>
      <c r="U157" s="224"/>
      <c r="V157" s="224"/>
      <c r="W157" s="224"/>
      <c r="X157" s="224"/>
      <c r="Y157" s="224"/>
      <c r="Z157" s="224"/>
    </row>
    <row r="158" customFormat="false" ht="14.25" hidden="true" customHeight="false" outlineLevel="1" collapsed="false">
      <c r="B158" s="19"/>
      <c r="C158" s="83"/>
      <c r="H158" s="81"/>
      <c r="J158" s="81"/>
      <c r="L158" s="81"/>
      <c r="N158" s="81"/>
      <c r="P158" s="81"/>
      <c r="Q158" s="230"/>
      <c r="R158" s="20"/>
      <c r="U158" s="224"/>
      <c r="V158" s="224"/>
      <c r="W158" s="224"/>
      <c r="X158" s="224"/>
      <c r="Y158" s="224"/>
      <c r="Z158" s="224"/>
    </row>
    <row r="159" customFormat="false" ht="14.25" hidden="true" customHeight="true" outlineLevel="0" collapsed="false">
      <c r="B159" s="19"/>
      <c r="C159" s="87" t="s">
        <v>215</v>
      </c>
      <c r="D159" s="87"/>
      <c r="E159" s="87"/>
      <c r="F159" s="231"/>
      <c r="G159" s="231"/>
      <c r="H159" s="67" t="n">
        <f aca="false">SUM(H155:I157)</f>
        <v>0</v>
      </c>
      <c r="I159" s="67"/>
      <c r="J159" s="67" t="n">
        <f aca="false">SUM(J155:K157)</f>
        <v>0</v>
      </c>
      <c r="K159" s="67"/>
      <c r="L159" s="67" t="n">
        <f aca="false">SUM(L155:M157)</f>
        <v>0</v>
      </c>
      <c r="M159" s="67"/>
      <c r="N159" s="67" t="n">
        <f aca="false">SUM(N155:O157)</f>
        <v>0</v>
      </c>
      <c r="O159" s="67"/>
      <c r="P159" s="68" t="n">
        <f aca="false">SUM(P155:Q157)</f>
        <v>0</v>
      </c>
      <c r="Q159" s="68"/>
      <c r="R159" s="20"/>
      <c r="U159" s="224"/>
      <c r="V159" s="224"/>
      <c r="W159" s="224"/>
      <c r="X159" s="224"/>
      <c r="Y159" s="224"/>
      <c r="Z159" s="224"/>
    </row>
    <row r="160" customFormat="false" ht="12" hidden="true" customHeight="false" outlineLevel="0" collapsed="false">
      <c r="B160" s="19"/>
      <c r="C160" s="25"/>
      <c r="Q160" s="26"/>
      <c r="R160" s="20"/>
      <c r="U160" s="224"/>
      <c r="V160" s="224"/>
      <c r="W160" s="224"/>
      <c r="X160" s="224"/>
      <c r="Y160" s="224"/>
      <c r="Z160" s="224"/>
    </row>
    <row r="161" s="7" customFormat="true" ht="15" hidden="true" customHeight="false" outlineLevel="0" collapsed="false">
      <c r="A161" s="6"/>
      <c r="B161" s="19"/>
      <c r="C161" s="41" t="s">
        <v>216</v>
      </c>
      <c r="Q161" s="92"/>
      <c r="R161" s="20"/>
      <c r="S161" s="6"/>
      <c r="T161" s="6"/>
      <c r="U161" s="221"/>
      <c r="V161" s="222"/>
      <c r="W161" s="222"/>
      <c r="X161" s="222"/>
      <c r="Y161" s="222"/>
      <c r="Z161" s="223"/>
    </row>
    <row r="162" customFormat="false" ht="14.25" hidden="true" customHeight="true" outlineLevel="1" collapsed="false">
      <c r="B162" s="19"/>
      <c r="C162" s="27" t="s">
        <v>217</v>
      </c>
      <c r="D162" s="27"/>
      <c r="E162" s="27"/>
      <c r="F162" s="225" t="s">
        <v>212</v>
      </c>
      <c r="G162" s="225" t="s">
        <v>212</v>
      </c>
      <c r="H162" s="78" t="n">
        <f aca="false">IF($D$30="","",IF($D$29&gt;$D$30,"Fel i grunduppgifter",$D$30))</f>
        <v>2023</v>
      </c>
      <c r="I162" s="78"/>
      <c r="J162" s="78" t="n">
        <f aca="false">IFERROR(H162+1,"")</f>
        <v>2024</v>
      </c>
      <c r="K162" s="78"/>
      <c r="L162" s="78" t="n">
        <f aca="false">IFERROR(J162+1,"")</f>
        <v>2025</v>
      </c>
      <c r="M162" s="78"/>
      <c r="N162" s="78" t="n">
        <f aca="false">IFERROR(L162+1,"")</f>
        <v>2026</v>
      </c>
      <c r="O162" s="78"/>
      <c r="P162" s="79" t="n">
        <f aca="false">IFERROR(N162+1,"")</f>
        <v>2027</v>
      </c>
      <c r="Q162" s="79"/>
      <c r="R162" s="20"/>
      <c r="U162" s="224" t="s">
        <v>218</v>
      </c>
      <c r="V162" s="224"/>
      <c r="W162" s="224"/>
      <c r="X162" s="224"/>
      <c r="Y162" s="224"/>
      <c r="Z162" s="224"/>
    </row>
    <row r="163" customFormat="false" ht="14.25" hidden="true" customHeight="false" outlineLevel="1" collapsed="false">
      <c r="B163" s="19"/>
      <c r="C163" s="53" t="s">
        <v>219</v>
      </c>
      <c r="D163" s="53"/>
      <c r="E163" s="53"/>
      <c r="F163" s="225"/>
      <c r="G163" s="226"/>
      <c r="H163" s="227"/>
      <c r="I163" s="227"/>
      <c r="J163" s="227"/>
      <c r="K163" s="227"/>
      <c r="L163" s="227"/>
      <c r="M163" s="227"/>
      <c r="N163" s="227"/>
      <c r="O163" s="227"/>
      <c r="P163" s="228"/>
      <c r="Q163" s="228"/>
      <c r="R163" s="20"/>
      <c r="U163" s="224"/>
      <c r="V163" s="224"/>
      <c r="W163" s="224"/>
      <c r="X163" s="224"/>
      <c r="Y163" s="224"/>
      <c r="Z163" s="224"/>
    </row>
    <row r="164" customFormat="false" ht="14.25" hidden="true" customHeight="false" outlineLevel="1" collapsed="false">
      <c r="B164" s="19"/>
      <c r="C164" s="53" t="s">
        <v>220</v>
      </c>
      <c r="D164" s="53"/>
      <c r="E164" s="53"/>
      <c r="F164" s="225"/>
      <c r="G164" s="226"/>
      <c r="H164" s="227"/>
      <c r="I164" s="227"/>
      <c r="J164" s="227"/>
      <c r="K164" s="227"/>
      <c r="L164" s="227"/>
      <c r="M164" s="227"/>
      <c r="N164" s="227"/>
      <c r="O164" s="227"/>
      <c r="P164" s="228"/>
      <c r="Q164" s="228"/>
      <c r="R164" s="20"/>
      <c r="U164" s="224"/>
      <c r="V164" s="224"/>
      <c r="W164" s="224"/>
      <c r="X164" s="224"/>
      <c r="Y164" s="224"/>
      <c r="Z164" s="224"/>
    </row>
    <row r="165" customFormat="false" ht="14.25" hidden="true" customHeight="false" outlineLevel="1" collapsed="false">
      <c r="B165" s="19"/>
      <c r="C165" s="53"/>
      <c r="D165" s="53"/>
      <c r="E165" s="53"/>
      <c r="F165" s="225"/>
      <c r="G165" s="226"/>
      <c r="H165" s="227"/>
      <c r="I165" s="227"/>
      <c r="J165" s="227"/>
      <c r="K165" s="227"/>
      <c r="L165" s="227"/>
      <c r="M165" s="227"/>
      <c r="N165" s="227"/>
      <c r="O165" s="227"/>
      <c r="P165" s="228"/>
      <c r="Q165" s="228"/>
      <c r="R165" s="20"/>
      <c r="U165" s="224"/>
      <c r="V165" s="224"/>
      <c r="W165" s="224"/>
      <c r="X165" s="224"/>
      <c r="Y165" s="224"/>
      <c r="Z165" s="224"/>
    </row>
    <row r="166" customFormat="false" ht="14.25" hidden="true" customHeight="false" outlineLevel="1" collapsed="false">
      <c r="B166" s="19"/>
      <c r="C166" s="83"/>
      <c r="H166" s="210"/>
      <c r="I166" s="232"/>
      <c r="J166" s="210"/>
      <c r="K166" s="232"/>
      <c r="L166" s="210"/>
      <c r="M166" s="232"/>
      <c r="N166" s="81"/>
      <c r="P166" s="81"/>
      <c r="Q166" s="230"/>
      <c r="R166" s="20"/>
      <c r="U166" s="224"/>
      <c r="V166" s="224"/>
      <c r="W166" s="224"/>
      <c r="X166" s="224"/>
      <c r="Y166" s="224"/>
      <c r="Z166" s="224"/>
    </row>
    <row r="167" customFormat="false" ht="30" hidden="true" customHeight="true" outlineLevel="0" collapsed="false">
      <c r="B167" s="19"/>
      <c r="C167" s="233" t="s">
        <v>221</v>
      </c>
      <c r="D167" s="233"/>
      <c r="E167" s="233"/>
      <c r="F167" s="234"/>
      <c r="G167" s="235"/>
      <c r="H167" s="236" t="n">
        <f aca="false">H159-H148+SUM(H163:I164)</f>
        <v>-447678</v>
      </c>
      <c r="I167" s="236"/>
      <c r="J167" s="236" t="n">
        <f aca="false">J159-J148+SUM(J163:K164)</f>
        <v>-191862</v>
      </c>
      <c r="K167" s="236"/>
      <c r="L167" s="236" t="n">
        <f aca="false">L159-L148+SUM(L163:M164)</f>
        <v>0</v>
      </c>
      <c r="M167" s="236"/>
      <c r="N167" s="236" t="n">
        <f aca="false">N159-N148+SUM(N163:O164)</f>
        <v>0</v>
      </c>
      <c r="O167" s="236"/>
      <c r="P167" s="237" t="n">
        <f aca="false">P159-P148+SUM(P163:Q164)</f>
        <v>0</v>
      </c>
      <c r="Q167" s="237"/>
      <c r="R167" s="20"/>
      <c r="U167" s="224"/>
      <c r="V167" s="224"/>
      <c r="W167" s="224"/>
      <c r="X167" s="224"/>
      <c r="Y167" s="224"/>
      <c r="Z167" s="224"/>
    </row>
    <row r="168" s="7" customFormat="true" ht="12" hidden="true" customHeight="false" outlineLevel="0" collapsed="false">
      <c r="A168" s="6"/>
      <c r="B168" s="19"/>
      <c r="R168" s="20"/>
      <c r="S168" s="6"/>
      <c r="T168" s="6"/>
      <c r="U168" s="224"/>
      <c r="V168" s="224"/>
      <c r="W168" s="224"/>
      <c r="X168" s="224"/>
      <c r="Y168" s="224"/>
      <c r="Z168" s="224"/>
    </row>
    <row r="169" s="7" customFormat="true" ht="12" hidden="true" customHeight="false" outlineLevel="0" collapsed="false">
      <c r="A169" s="6"/>
      <c r="B169" s="19"/>
      <c r="C169" s="7" t="s">
        <v>222</v>
      </c>
      <c r="E169" s="7" t="s">
        <v>91</v>
      </c>
      <c r="G169" s="7" t="s">
        <v>92</v>
      </c>
      <c r="R169" s="20"/>
      <c r="S169" s="6"/>
      <c r="T169" s="6"/>
      <c r="U169" s="224"/>
      <c r="V169" s="224"/>
      <c r="W169" s="224"/>
      <c r="X169" s="224"/>
      <c r="Y169" s="224"/>
      <c r="Z169" s="224"/>
    </row>
    <row r="170" s="7" customFormat="true" ht="12" hidden="true" customHeight="false" outlineLevel="0" collapsed="false">
      <c r="A170" s="6"/>
      <c r="B170" s="19"/>
      <c r="R170" s="20"/>
      <c r="S170" s="6"/>
      <c r="T170" s="6"/>
      <c r="U170" s="238"/>
      <c r="V170" s="239"/>
      <c r="W170" s="239"/>
      <c r="X170" s="239"/>
      <c r="Y170" s="239"/>
      <c r="Z170" s="240"/>
    </row>
    <row r="171" s="7" customFormat="true" ht="12" hidden="true" customHeight="false" outlineLevel="0" collapsed="false">
      <c r="A171" s="6"/>
      <c r="B171" s="19"/>
      <c r="C171" s="115"/>
      <c r="E171" s="115"/>
      <c r="G171" s="115"/>
      <c r="H171" s="115"/>
      <c r="R171" s="20"/>
      <c r="S171" s="6"/>
      <c r="T171" s="6"/>
      <c r="U171" s="238"/>
      <c r="V171" s="239"/>
      <c r="W171" s="239"/>
      <c r="X171" s="239"/>
      <c r="Y171" s="239"/>
      <c r="Z171" s="240"/>
    </row>
    <row r="172" s="7" customFormat="true" ht="12" hidden="true" customHeight="true" outlineLevel="0" collapsed="false">
      <c r="A172" s="6"/>
      <c r="B172" s="19"/>
      <c r="C172" s="7" t="s">
        <v>94</v>
      </c>
      <c r="E172" s="7" t="s">
        <v>94</v>
      </c>
      <c r="G172" s="7" t="s">
        <v>94</v>
      </c>
      <c r="R172" s="20"/>
      <c r="S172" s="6"/>
      <c r="T172" s="6"/>
      <c r="U172" s="241" t="s">
        <v>223</v>
      </c>
      <c r="V172" s="241"/>
      <c r="W172" s="241"/>
      <c r="X172" s="241"/>
      <c r="Y172" s="241"/>
      <c r="Z172" s="241"/>
    </row>
    <row r="173" s="7" customFormat="true" ht="12" hidden="true" customHeight="true" outlineLevel="0" collapsed="false">
      <c r="A173" s="6"/>
      <c r="B173" s="19"/>
      <c r="R173" s="20"/>
      <c r="S173" s="6"/>
      <c r="T173" s="6"/>
      <c r="U173" s="241"/>
      <c r="V173" s="241"/>
      <c r="W173" s="241"/>
      <c r="X173" s="241"/>
      <c r="Y173" s="241"/>
      <c r="Z173" s="241"/>
    </row>
    <row r="174" customFormat="false" ht="12" hidden="true" customHeight="true" outlineLevel="0" collapsed="false">
      <c r="B174" s="19"/>
      <c r="C174" s="116"/>
      <c r="D174" s="7"/>
      <c r="E174" s="116"/>
      <c r="F174" s="7"/>
      <c r="G174" s="116"/>
      <c r="H174" s="116"/>
      <c r="R174" s="20"/>
      <c r="U174" s="241"/>
      <c r="V174" s="241"/>
      <c r="W174" s="241"/>
      <c r="X174" s="241"/>
      <c r="Y174" s="241"/>
      <c r="Z174" s="241"/>
    </row>
    <row r="175" s="7" customFormat="true" ht="12" hidden="true" customHeight="true" outlineLevel="0" collapsed="false">
      <c r="A175" s="6"/>
      <c r="B175" s="19"/>
      <c r="C175" s="7" t="s">
        <v>95</v>
      </c>
      <c r="E175" s="7" t="s">
        <v>95</v>
      </c>
      <c r="G175" s="7" t="s">
        <v>95</v>
      </c>
      <c r="R175" s="20"/>
      <c r="S175" s="6"/>
      <c r="T175" s="6"/>
      <c r="U175" s="241"/>
      <c r="V175" s="241"/>
      <c r="W175" s="241"/>
      <c r="X175" s="241"/>
      <c r="Y175" s="241"/>
      <c r="Z175" s="241"/>
    </row>
    <row r="176" s="7" customFormat="true" ht="12" hidden="false" customHeight="false" outlineLevel="0" collapsed="false">
      <c r="A176" s="6"/>
      <c r="B176" s="19"/>
      <c r="R176" s="20"/>
      <c r="S176" s="6"/>
      <c r="T176" s="6"/>
      <c r="U176" s="192"/>
      <c r="V176" s="193"/>
      <c r="W176" s="193"/>
      <c r="X176" s="193"/>
      <c r="Y176" s="193"/>
      <c r="Z176" s="194"/>
    </row>
    <row r="177" customFormat="false" ht="12.75" hidden="false" customHeight="false" outlineLevel="0" collapsed="false">
      <c r="B177" s="117"/>
      <c r="C177" s="118"/>
      <c r="D177" s="118"/>
      <c r="E177" s="118"/>
      <c r="F177" s="118"/>
      <c r="G177" s="118"/>
      <c r="H177" s="118"/>
      <c r="I177" s="118"/>
      <c r="J177" s="118"/>
      <c r="K177" s="118"/>
      <c r="L177" s="118"/>
      <c r="M177" s="118"/>
      <c r="N177" s="118"/>
      <c r="O177" s="118"/>
      <c r="P177" s="118"/>
      <c r="Q177" s="118"/>
      <c r="R177" s="119"/>
      <c r="U177" s="242"/>
      <c r="V177" s="243"/>
      <c r="W177" s="243"/>
      <c r="X177" s="243"/>
      <c r="Y177" s="243"/>
      <c r="Z177" s="244"/>
    </row>
    <row r="178" customFormat="false" ht="12.75" hidden="false" customHeight="false" outlineLevel="0" collapsed="false">
      <c r="U178" s="15"/>
      <c r="V178" s="15"/>
      <c r="W178" s="15"/>
      <c r="X178" s="15"/>
      <c r="Y178" s="15"/>
      <c r="Z178" s="15"/>
    </row>
    <row r="179" customFormat="false" ht="12" hidden="false" customHeight="false" outlineLevel="0" collapsed="false">
      <c r="U179" s="15"/>
      <c r="V179" s="15"/>
      <c r="W179" s="15"/>
      <c r="X179" s="15"/>
      <c r="Y179" s="15"/>
      <c r="Z179" s="15"/>
    </row>
  </sheetData>
  <mergeCells count="237">
    <mergeCell ref="U3:Z24"/>
    <mergeCell ref="B6:R21"/>
    <mergeCell ref="U25:Z39"/>
    <mergeCell ref="D32:E32"/>
    <mergeCell ref="D33:E33"/>
    <mergeCell ref="D34:E34"/>
    <mergeCell ref="H40:I40"/>
    <mergeCell ref="J40:K40"/>
    <mergeCell ref="L40:M40"/>
    <mergeCell ref="N40:O40"/>
    <mergeCell ref="P40:Q40"/>
    <mergeCell ref="H44:I44"/>
    <mergeCell ref="J44:K44"/>
    <mergeCell ref="L44:M44"/>
    <mergeCell ref="N44:O44"/>
    <mergeCell ref="P44:Q44"/>
    <mergeCell ref="D45:E45"/>
    <mergeCell ref="U45:Y45"/>
    <mergeCell ref="D46:E46"/>
    <mergeCell ref="U46:Z67"/>
    <mergeCell ref="D49:E49"/>
    <mergeCell ref="H52:I52"/>
    <mergeCell ref="J52:K52"/>
    <mergeCell ref="L52:M52"/>
    <mergeCell ref="N52:O52"/>
    <mergeCell ref="P52:Q52"/>
    <mergeCell ref="D53:E53"/>
    <mergeCell ref="D54:E54"/>
    <mergeCell ref="D55:E55"/>
    <mergeCell ref="H58:I58"/>
    <mergeCell ref="J58:K58"/>
    <mergeCell ref="L58:M58"/>
    <mergeCell ref="N58:O58"/>
    <mergeCell ref="P58:Q58"/>
    <mergeCell ref="D59:E59"/>
    <mergeCell ref="D60:E60"/>
    <mergeCell ref="D61:E61"/>
    <mergeCell ref="H64:I64"/>
    <mergeCell ref="J64:K64"/>
    <mergeCell ref="L64:M64"/>
    <mergeCell ref="N64:O64"/>
    <mergeCell ref="P64:Q64"/>
    <mergeCell ref="D65:E65"/>
    <mergeCell ref="D66:E66"/>
    <mergeCell ref="D67:E67"/>
    <mergeCell ref="C69:E69"/>
    <mergeCell ref="H69:I69"/>
    <mergeCell ref="J69:K69"/>
    <mergeCell ref="L69:M69"/>
    <mergeCell ref="N69:O69"/>
    <mergeCell ref="P69:Q69"/>
    <mergeCell ref="C71:F71"/>
    <mergeCell ref="U71:Z74"/>
    <mergeCell ref="C72:F72"/>
    <mergeCell ref="C75:G75"/>
    <mergeCell ref="H75:I75"/>
    <mergeCell ref="J75:K75"/>
    <mergeCell ref="L75:M75"/>
    <mergeCell ref="N75:O75"/>
    <mergeCell ref="P75:Q75"/>
    <mergeCell ref="H79:I79"/>
    <mergeCell ref="J79:K79"/>
    <mergeCell ref="L79:M79"/>
    <mergeCell ref="N79:O79"/>
    <mergeCell ref="P79:Q79"/>
    <mergeCell ref="U79:Z82"/>
    <mergeCell ref="D80:E80"/>
    <mergeCell ref="D81:E81"/>
    <mergeCell ref="D82:E82"/>
    <mergeCell ref="C84:E84"/>
    <mergeCell ref="H84:I84"/>
    <mergeCell ref="J84:K84"/>
    <mergeCell ref="L84:M84"/>
    <mergeCell ref="N84:O84"/>
    <mergeCell ref="P84:Q84"/>
    <mergeCell ref="C86:E86"/>
    <mergeCell ref="H86:I86"/>
    <mergeCell ref="J86:K86"/>
    <mergeCell ref="L86:M86"/>
    <mergeCell ref="N86:O86"/>
    <mergeCell ref="P86:Q86"/>
    <mergeCell ref="H92:I92"/>
    <mergeCell ref="J92:K92"/>
    <mergeCell ref="L92:M92"/>
    <mergeCell ref="N92:O92"/>
    <mergeCell ref="P92:Q92"/>
    <mergeCell ref="C93:F93"/>
    <mergeCell ref="U93:Z96"/>
    <mergeCell ref="C94:F94"/>
    <mergeCell ref="C95:F95"/>
    <mergeCell ref="C96:F96"/>
    <mergeCell ref="C98:G98"/>
    <mergeCell ref="H98:I98"/>
    <mergeCell ref="J98:K98"/>
    <mergeCell ref="L98:M98"/>
    <mergeCell ref="N98:O98"/>
    <mergeCell ref="P98:Q98"/>
    <mergeCell ref="H102:I102"/>
    <mergeCell ref="J102:K102"/>
    <mergeCell ref="L102:M102"/>
    <mergeCell ref="N102:O102"/>
    <mergeCell ref="P102:Q102"/>
    <mergeCell ref="U102:Z114"/>
    <mergeCell ref="C103:F103"/>
    <mergeCell ref="C104:F104"/>
    <mergeCell ref="C105:F105"/>
    <mergeCell ref="C106:F106"/>
    <mergeCell ref="C107:F107"/>
    <mergeCell ref="C108:F108"/>
    <mergeCell ref="C109:F109"/>
    <mergeCell ref="C112:F112"/>
    <mergeCell ref="C114:G114"/>
    <mergeCell ref="H114:I114"/>
    <mergeCell ref="J114:K114"/>
    <mergeCell ref="L114:M114"/>
    <mergeCell ref="N114:O114"/>
    <mergeCell ref="P114:Q114"/>
    <mergeCell ref="U115:Z118"/>
    <mergeCell ref="H118:I118"/>
    <mergeCell ref="J118:K118"/>
    <mergeCell ref="L118:M118"/>
    <mergeCell ref="N118:O118"/>
    <mergeCell ref="P118:Q118"/>
    <mergeCell ref="C119:E119"/>
    <mergeCell ref="U119:Z137"/>
    <mergeCell ref="C120:E120"/>
    <mergeCell ref="C121:E121"/>
    <mergeCell ref="H123:I123"/>
    <mergeCell ref="J123:K123"/>
    <mergeCell ref="L123:M123"/>
    <mergeCell ref="N123:O123"/>
    <mergeCell ref="P123:Q123"/>
    <mergeCell ref="C124:E124"/>
    <mergeCell ref="C125:E125"/>
    <mergeCell ref="C126:E126"/>
    <mergeCell ref="C127:E127"/>
    <mergeCell ref="H129:I129"/>
    <mergeCell ref="J129:K129"/>
    <mergeCell ref="L129:M129"/>
    <mergeCell ref="N129:O129"/>
    <mergeCell ref="P129:Q129"/>
    <mergeCell ref="C130:F130"/>
    <mergeCell ref="C131:F131"/>
    <mergeCell ref="C132:F132"/>
    <mergeCell ref="C133:F133"/>
    <mergeCell ref="C135:G135"/>
    <mergeCell ref="H135:I135"/>
    <mergeCell ref="J135:K135"/>
    <mergeCell ref="L135:M135"/>
    <mergeCell ref="N135:O135"/>
    <mergeCell ref="P135:Q135"/>
    <mergeCell ref="C137:E137"/>
    <mergeCell ref="H137:I137"/>
    <mergeCell ref="J137:K137"/>
    <mergeCell ref="L137:M137"/>
    <mergeCell ref="N137:O137"/>
    <mergeCell ref="P137:Q137"/>
    <mergeCell ref="U138:Z146"/>
    <mergeCell ref="C140:F140"/>
    <mergeCell ref="C141:F141"/>
    <mergeCell ref="C142:F142"/>
    <mergeCell ref="C145:E145"/>
    <mergeCell ref="H145:I145"/>
    <mergeCell ref="J145:K145"/>
    <mergeCell ref="L145:M145"/>
    <mergeCell ref="N145:O145"/>
    <mergeCell ref="P145:Q145"/>
    <mergeCell ref="H148:I148"/>
    <mergeCell ref="J148:K148"/>
    <mergeCell ref="L148:M148"/>
    <mergeCell ref="N148:O148"/>
    <mergeCell ref="P148:Q148"/>
    <mergeCell ref="U151:Z160"/>
    <mergeCell ref="C154:E154"/>
    <mergeCell ref="H154:I154"/>
    <mergeCell ref="J154:K154"/>
    <mergeCell ref="L154:M154"/>
    <mergeCell ref="N154:O154"/>
    <mergeCell ref="P154:Q154"/>
    <mergeCell ref="C155:E155"/>
    <mergeCell ref="H155:I155"/>
    <mergeCell ref="J155:K155"/>
    <mergeCell ref="L155:M155"/>
    <mergeCell ref="N155:O155"/>
    <mergeCell ref="P155:Q155"/>
    <mergeCell ref="C156:E156"/>
    <mergeCell ref="H156:I156"/>
    <mergeCell ref="J156:K156"/>
    <mergeCell ref="L156:M156"/>
    <mergeCell ref="N156:O156"/>
    <mergeCell ref="P156:Q156"/>
    <mergeCell ref="C157:E157"/>
    <mergeCell ref="H157:I157"/>
    <mergeCell ref="J157:K157"/>
    <mergeCell ref="L157:M157"/>
    <mergeCell ref="N157:O157"/>
    <mergeCell ref="P157:Q157"/>
    <mergeCell ref="C159:E159"/>
    <mergeCell ref="F159:G159"/>
    <mergeCell ref="H159:I159"/>
    <mergeCell ref="J159:K159"/>
    <mergeCell ref="L159:M159"/>
    <mergeCell ref="N159:O159"/>
    <mergeCell ref="P159:Q159"/>
    <mergeCell ref="C162:E162"/>
    <mergeCell ref="H162:I162"/>
    <mergeCell ref="J162:K162"/>
    <mergeCell ref="L162:M162"/>
    <mergeCell ref="N162:O162"/>
    <mergeCell ref="P162:Q162"/>
    <mergeCell ref="U162:Z169"/>
    <mergeCell ref="C163:E163"/>
    <mergeCell ref="H163:I163"/>
    <mergeCell ref="J163:K163"/>
    <mergeCell ref="L163:M163"/>
    <mergeCell ref="N163:O163"/>
    <mergeCell ref="P163:Q163"/>
    <mergeCell ref="C164:E164"/>
    <mergeCell ref="H164:I164"/>
    <mergeCell ref="J164:K164"/>
    <mergeCell ref="L164:M164"/>
    <mergeCell ref="N164:O164"/>
    <mergeCell ref="P164:Q164"/>
    <mergeCell ref="C165:E165"/>
    <mergeCell ref="H165:I165"/>
    <mergeCell ref="J165:K165"/>
    <mergeCell ref="L165:M165"/>
    <mergeCell ref="N165:O165"/>
    <mergeCell ref="P165:Q165"/>
    <mergeCell ref="C167:E167"/>
    <mergeCell ref="H167:I167"/>
    <mergeCell ref="J167:K167"/>
    <mergeCell ref="L167:M167"/>
    <mergeCell ref="N167:O167"/>
    <mergeCell ref="P167:Q167"/>
    <mergeCell ref="U172:Z175"/>
    <mergeCell ref="G174:H174"/>
  </mergeCells>
  <conditionalFormatting sqref="K120:K121">
    <cfRule type="cellIs" priority="2" operator="equal" aboveAverage="0" equalAverage="0" bottom="0" percent="0" rank="0" text="" dxfId="5">
      <formula>"*livslängd &lt; proj-tid"</formula>
    </cfRule>
  </conditionalFormatting>
  <conditionalFormatting sqref="O120:O121">
    <cfRule type="cellIs" priority="3" operator="equal" aboveAverage="0" equalAverage="0" bottom="0" percent="0" rank="0" text="" dxfId="6">
      <formula>"*livslängd &lt; proj-tid"</formula>
    </cfRule>
  </conditionalFormatting>
  <conditionalFormatting sqref="I120:I121">
    <cfRule type="cellIs" priority="4" operator="equal" aboveAverage="0" equalAverage="0" bottom="0" percent="0" rank="0" text="" dxfId="7">
      <formula>"*livslängd &lt; proj-tid"</formula>
    </cfRule>
  </conditionalFormatting>
  <conditionalFormatting sqref="M120:M121">
    <cfRule type="cellIs" priority="5" operator="equal" aboveAverage="0" equalAverage="0" bottom="0" percent="0" rank="0" text="" dxfId="8">
      <formula>"*livslängd &lt; proj-tid"</formula>
    </cfRule>
  </conditionalFormatting>
  <conditionalFormatting sqref="Q120:Q121">
    <cfRule type="cellIs" priority="6" operator="equal" aboveAverage="0" equalAverage="0" bottom="0" percent="0" rank="0" text="" dxfId="9">
      <formula>"*livslängd &lt; proj-tid"</formula>
    </cfRule>
  </conditionalFormatting>
  <dataValidations count="10">
    <dataValidation allowBlank="true" operator="between" prompt="Detta är ett fritextfält" promptTitle="Projektledare/-ansvarig" showDropDown="false" showErrorMessage="true" showInputMessage="true" sqref="D32:E32" type="none">
      <formula1>0</formula1>
      <formula2>0</formula2>
    </dataValidation>
    <dataValidation allowBlank="true" operator="between" showDropDown="false" showErrorMessage="true" showInputMessage="false" sqref="D29" type="custom">
      <formula1>2017</formula1>
      <formula2>0</formula2>
    </dataValidation>
    <dataValidation allowBlank="true" operator="between" showDropDown="false" showErrorMessage="true" showInputMessage="false" sqref="D30:D31" type="list">
      <formula1>Uppstartsår</formula1>
      <formula2>0</formula2>
    </dataValidation>
    <dataValidation allowBlank="true" operator="between" prompt="Detta är ett fritextfält som man kan nyttja till att beskriva kort vad projektet är eller dess namn." promptTitle="Projektbeskrivning" showDropDown="false" showErrorMessage="true" showInputMessage="true" sqref="D34:E34" type="none">
      <formula1>0</formula1>
      <formula2>0</formula2>
    </dataValidation>
    <dataValidation allowBlank="true" operator="between" prompt="Detta är ett fritextfält, men påverkar fliken för uppföljning" promptTitle="Projektnummer från UBW" showDropDown="false" showErrorMessage="true" showInputMessage="true" sqref="D33:E33" type="none">
      <formula1>0</formula1>
      <formula2>0</formula2>
    </dataValidation>
    <dataValidation allowBlank="true" error="Ni måste välja en av de befintliga institutionskoderna i rullmenyn " errorTitle="Institutionskod från UBW/Agresso" operator="between" prompt="Välj den institutionskod som projektet genomförs på" promptTitle="Institutionskod från UBW/Agresso" showDropDown="false" showErrorMessage="true" showInputMessage="true" sqref="D28" type="list">
      <formula1>'INDI FO 2021'!$C$3:$C$29</formula1>
      <formula2>0</formula2>
    </dataValidation>
    <dataValidation allowBlank="true" operator="between" showDropDown="false" showErrorMessage="true" showInputMessage="true" sqref="E30:E31" type="list">
      <formula1>Tabeller!$G$1:$G$12</formula1>
      <formula2>0</formula2>
    </dataValidation>
    <dataValidation allowBlank="true" operator="between" prompt="Detta är ett fritextfält som man kan nyttja till att beskriva kort vad projektet är" promptTitle="Bidragsprojektets beskrivning" showDropDown="false" showErrorMessage="true" showInputMessage="true" sqref="C35:E36" type="none">
      <formula1>0</formula1>
      <formula2>0</formula2>
    </dataValidation>
    <dataValidation allowBlank="true" operator="between" showDropDown="false" showErrorMessage="true" showInputMessage="true" sqref="F120:F121" type="list">
      <formula1>"1 år,2 år,3 år,4 år,5 år,6 år,7 år,8 år,9 år,10 år"</formula1>
      <formula2>0</formula2>
    </dataValidation>
    <dataValidation allowBlank="true" operator="between" showDropDown="false" showErrorMessage="true" showInputMessage="false" sqref="G142" type="list">
      <formula1>UppräkningINDI</formula1>
      <formula2>0</formula2>
    </dataValidation>
  </dataValidations>
  <printOptions headings="false" gridLines="false" gridLinesSet="true" horizontalCentered="false" verticalCentered="false"/>
  <pageMargins left="0.25" right="0.25" top="0.2" bottom="0.2"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colBreaks count="1" manualBreakCount="1">
    <brk id="20" man="true" max="65535" min="0"/>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C78"/>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selection pane="topLeft" activeCell="G73" activeCellId="0" sqref="G73"/>
    </sheetView>
  </sheetViews>
  <sheetFormatPr defaultColWidth="8.73046875" defaultRowHeight="18" zeroHeight="false" outlineLevelRow="0" outlineLevelCol="0"/>
  <cols>
    <col collapsed="false" customWidth="false" hidden="false" outlineLevel="0" max="2" min="1" style="245" width="8.74"/>
    <col collapsed="false" customWidth="true" hidden="false" outlineLevel="0" max="3" min="3" style="245" width="10.75"/>
    <col collapsed="false" customWidth="true" hidden="false" outlineLevel="0" max="4" min="4" style="245" width="13.37"/>
    <col collapsed="false" customWidth="true" hidden="false" outlineLevel="0" max="5" min="5" style="245" width="10.61"/>
    <col collapsed="false" customWidth="true" hidden="false" outlineLevel="0" max="6" min="6" style="245" width="12.25"/>
    <col collapsed="false" customWidth="true" hidden="false" outlineLevel="0" max="7" min="7" style="245" width="14.75"/>
    <col collapsed="false" customWidth="false" hidden="false" outlineLevel="0" max="9" min="8" style="245" width="8.74"/>
    <col collapsed="false" customWidth="true" hidden="false" outlineLevel="0" max="11" min="10" style="245" width="17.25"/>
    <col collapsed="false" customWidth="true" hidden="false" outlineLevel="0" max="12" min="12" style="245" width="19.5"/>
    <col collapsed="false" customWidth="true" hidden="false" outlineLevel="0" max="13" min="13" style="245" width="23.25"/>
    <col collapsed="false" customWidth="true" hidden="false" outlineLevel="0" max="14" min="14" style="245" width="20.25"/>
    <col collapsed="false" customWidth="true" hidden="false" outlineLevel="0" max="15" min="15" style="245" width="17.74"/>
    <col collapsed="false" customWidth="true" hidden="false" outlineLevel="0" max="16" min="16" style="245" width="18.12"/>
    <col collapsed="false" customWidth="false" hidden="false" outlineLevel="0" max="17" min="17" style="245" width="8.74"/>
    <col collapsed="false" customWidth="true" hidden="false" outlineLevel="0" max="18" min="18" style="245" width="11.25"/>
    <col collapsed="false" customWidth="true" hidden="false" outlineLevel="0" max="19" min="19" style="245" width="11.75"/>
    <col collapsed="false" customWidth="false" hidden="false" outlineLevel="0" max="20" min="20" style="245" width="8.74"/>
    <col collapsed="false" customWidth="true" hidden="false" outlineLevel="0" max="21" min="21" style="245" width="13.13"/>
    <col collapsed="false" customWidth="false" hidden="false" outlineLevel="0" max="24" min="22" style="245" width="8.74"/>
    <col collapsed="false" customWidth="true" hidden="false" outlineLevel="0" max="25" min="25" style="245" width="9.61"/>
    <col collapsed="false" customWidth="false" hidden="false" outlineLevel="0" max="1024" min="26" style="245" width="8.74"/>
  </cols>
  <sheetData>
    <row r="1" s="251" customFormat="true" ht="28.5" hidden="false" customHeight="false" outlineLevel="0" collapsed="false">
      <c r="A1" s="246"/>
      <c r="B1" s="247"/>
      <c r="C1" s="248" t="s">
        <v>224</v>
      </c>
      <c r="D1" s="248"/>
      <c r="E1" s="248"/>
      <c r="F1" s="248"/>
      <c r="G1" s="249" t="s">
        <v>225</v>
      </c>
      <c r="H1" s="249"/>
      <c r="I1" s="249"/>
      <c r="J1" s="249"/>
      <c r="K1" s="249"/>
      <c r="L1" s="247"/>
      <c r="M1" s="247"/>
      <c r="N1" s="247"/>
      <c r="O1" s="247"/>
      <c r="P1" s="247"/>
      <c r="Q1" s="247"/>
      <c r="R1" s="247"/>
      <c r="S1" s="247"/>
      <c r="T1" s="247"/>
      <c r="U1" s="247"/>
      <c r="V1" s="247"/>
      <c r="W1" s="247"/>
      <c r="X1" s="250"/>
    </row>
    <row r="2" customFormat="false" ht="14.45" hidden="false" customHeight="true" outlineLevel="0" collapsed="false"/>
    <row r="3" customFormat="false" ht="46.5" hidden="false" customHeight="true" outlineLevel="0" collapsed="false">
      <c r="C3" s="252" t="s">
        <v>226</v>
      </c>
      <c r="D3" s="253"/>
      <c r="E3" s="253"/>
      <c r="F3" s="253"/>
      <c r="G3" s="253"/>
      <c r="H3" s="253"/>
      <c r="I3" s="253"/>
      <c r="J3" s="253"/>
      <c r="K3" s="253"/>
      <c r="L3" s="254"/>
      <c r="M3" s="254"/>
      <c r="N3" s="254"/>
      <c r="O3" s="254"/>
      <c r="P3" s="255"/>
    </row>
    <row r="4" customFormat="false" ht="14.45" hidden="false" customHeight="true" outlineLevel="0" collapsed="false"/>
    <row r="5" s="256" customFormat="true" ht="20.25" hidden="false" customHeight="false" outlineLevel="0" collapsed="false">
      <c r="B5" s="257"/>
      <c r="C5" s="257" t="s">
        <v>227</v>
      </c>
      <c r="D5" s="257"/>
      <c r="E5" s="257"/>
      <c r="F5" s="257"/>
      <c r="G5" s="257"/>
      <c r="H5" s="257"/>
      <c r="I5" s="257"/>
      <c r="J5" s="257"/>
      <c r="K5" s="257"/>
    </row>
    <row r="7" customFormat="false" ht="18" hidden="false" customHeight="false" outlineLevel="0" collapsed="false">
      <c r="B7" s="258"/>
      <c r="C7" s="259" t="s">
        <v>228</v>
      </c>
      <c r="D7" s="259"/>
      <c r="E7" s="259"/>
      <c r="F7" s="258"/>
      <c r="G7" s="258"/>
      <c r="H7" s="258"/>
      <c r="I7" s="258"/>
      <c r="J7" s="258"/>
      <c r="K7" s="258"/>
    </row>
    <row r="8" customFormat="false" ht="18.75" hidden="false" customHeight="false" outlineLevel="0" collapsed="false">
      <c r="B8" s="260"/>
      <c r="C8" s="260"/>
      <c r="D8" s="260"/>
      <c r="E8" s="260"/>
      <c r="F8" s="260"/>
      <c r="G8" s="260"/>
      <c r="H8" s="260"/>
      <c r="I8" s="260"/>
      <c r="J8" s="260"/>
      <c r="K8" s="260"/>
    </row>
    <row r="9" customFormat="false" ht="18.75" hidden="false" customHeight="false" outlineLevel="0" collapsed="false">
      <c r="A9" s="261"/>
      <c r="B9" s="258"/>
      <c r="C9" s="262" t="str">
        <f aca="false">'Research Grant'!C45</f>
        <v>Name/Role</v>
      </c>
      <c r="D9" s="258"/>
      <c r="E9" s="258"/>
      <c r="F9" s="258"/>
      <c r="G9" s="262" t="s">
        <v>119</v>
      </c>
      <c r="H9" s="262"/>
      <c r="I9" s="262"/>
      <c r="J9" s="263" t="s">
        <v>229</v>
      </c>
      <c r="K9" s="264"/>
      <c r="M9" s="265" t="s">
        <v>230</v>
      </c>
      <c r="N9" s="266"/>
    </row>
    <row r="10" customFormat="false" ht="18" hidden="false" customHeight="false" outlineLevel="0" collapsed="false">
      <c r="A10" s="261"/>
      <c r="B10" s="267"/>
      <c r="C10" s="268" t="str">
        <f aca="false">IF(ISBLANK('Research Grant'!C46)," ",'Research Grant'!C46)</f>
        <v>PI</v>
      </c>
      <c r="D10" s="268"/>
      <c r="G10" s="268" t="str">
        <f aca="false">IF(ISBLANK('Research Grant'!D46)," ",'Research Grant'!D46)</f>
        <v> </v>
      </c>
      <c r="H10" s="268"/>
      <c r="J10" s="269" t="str">
        <f aca="false">IF(ISBLANK('Research Grant'!H46)," ",'Research Grant'!H46)</f>
        <v> </v>
      </c>
      <c r="K10" s="261"/>
      <c r="M10" s="270" t="s">
        <v>231</v>
      </c>
      <c r="N10" s="271" t="n">
        <v>0.5596</v>
      </c>
    </row>
    <row r="11" customFormat="false" ht="18" hidden="false" customHeight="false" outlineLevel="0" collapsed="false">
      <c r="A11" s="261"/>
      <c r="B11" s="267"/>
      <c r="C11" s="268" t="str">
        <f aca="false">IF(ISBLANK('Research Grant'!C47)," ",'Research Grant'!C47)</f>
        <v> </v>
      </c>
      <c r="D11" s="268"/>
      <c r="G11" s="268" t="str">
        <f aca="false">IF(ISBLANK('Research Grant'!D47)," ",'Research Grant'!D47)</f>
        <v> </v>
      </c>
      <c r="H11" s="272"/>
      <c r="J11" s="269" t="str">
        <f aca="false">IF(ISBLANK('Research Grant'!H47)," ",'Research Grant'!H47)</f>
        <v> </v>
      </c>
      <c r="K11" s="261"/>
      <c r="M11" s="273" t="s">
        <v>232</v>
      </c>
      <c r="N11" s="274" t="n">
        <v>0.254</v>
      </c>
      <c r="O11" s="275"/>
    </row>
    <row r="12" customFormat="false" ht="18" hidden="false" customHeight="false" outlineLevel="0" collapsed="false">
      <c r="A12" s="261"/>
      <c r="B12" s="267"/>
      <c r="C12" s="268" t="str">
        <f aca="false">IF(ISBLANK('Research Grant'!C48)," ",'Research Grant'!C48)</f>
        <v> </v>
      </c>
      <c r="D12" s="268"/>
      <c r="G12" s="268" t="str">
        <f aca="false">IF(ISBLANK('Research Grant'!D48)," ",'Research Grant'!D48)</f>
        <v> </v>
      </c>
      <c r="H12" s="268"/>
      <c r="J12" s="269" t="str">
        <f aca="false">IF(ISBLANK('Research Grant'!H48)," ",'Research Grant'!H48)</f>
        <v> </v>
      </c>
      <c r="K12" s="261"/>
    </row>
    <row r="13" customFormat="false" ht="18" hidden="false" customHeight="false" outlineLevel="0" collapsed="false">
      <c r="A13" s="261"/>
      <c r="B13" s="267"/>
      <c r="C13" s="268" t="str">
        <f aca="false">IF(ISBLANK('Research Grant'!C49)," ",'Research Grant'!C49)</f>
        <v> </v>
      </c>
      <c r="D13" s="268"/>
      <c r="G13" s="268" t="str">
        <f aca="false">IF(ISBLANK('Research Grant'!D49)," ",'Research Grant'!D49)</f>
        <v> </v>
      </c>
      <c r="H13" s="276"/>
      <c r="J13" s="269" t="str">
        <f aca="false">IF(ISBLANK('Research Grant'!H49)," ",'Research Grant'!H49)</f>
        <v> </v>
      </c>
      <c r="K13" s="261"/>
    </row>
    <row r="14" customFormat="false" ht="18" hidden="false" customHeight="false" outlineLevel="0" collapsed="false">
      <c r="A14" s="261"/>
      <c r="B14" s="267"/>
      <c r="C14" s="268" t="str">
        <f aca="false">IF(ISBLANK('Research Grant'!C54)," ",'Research Grant'!C54)</f>
        <v>Doktorand1</v>
      </c>
      <c r="D14" s="268"/>
      <c r="G14" s="276" t="str">
        <f aca="false">IF(ISBLANK('Research Grant'!D54)," ",'Research Grant'!D54)</f>
        <v> </v>
      </c>
      <c r="H14" s="272"/>
      <c r="J14" s="277" t="str">
        <f aca="false">IF(ISBLANK('Research Grant'!H54)," ",'Research Grant'!H54)</f>
        <v> </v>
      </c>
      <c r="K14" s="261"/>
    </row>
    <row r="15" customFormat="false" ht="18" hidden="false" customHeight="false" outlineLevel="0" collapsed="false">
      <c r="A15" s="261"/>
      <c r="B15" s="267"/>
      <c r="C15" s="268" t="str">
        <f aca="false">IF(ISBLANK('Research Grant'!C55)," ",'Research Grant'!C55)</f>
        <v> </v>
      </c>
      <c r="D15" s="268"/>
      <c r="G15" s="278" t="str">
        <f aca="false">IF(ISBLANK('Research Grant'!D55)," ",'Research Grant'!D55)</f>
        <v> </v>
      </c>
      <c r="H15" s="268"/>
      <c r="J15" s="277" t="str">
        <f aca="false">IF(ISBLANK('Research Grant'!H55)," ",'Research Grant'!H55)</f>
        <v> </v>
      </c>
      <c r="K15" s="261"/>
    </row>
    <row r="16" customFormat="false" ht="18" hidden="false" customHeight="false" outlineLevel="0" collapsed="false">
      <c r="A16" s="261"/>
      <c r="B16" s="267"/>
      <c r="C16" s="268" t="str">
        <f aca="false">IF(ISBLANK('Research Grant'!C60)," ",'Research Grant'!C60)</f>
        <v>Research assistent</v>
      </c>
      <c r="D16" s="268"/>
      <c r="G16" s="268" t="str">
        <f aca="false">IF(ISBLANK('Research Grant'!D60)," ",'Research Grant'!D60)</f>
        <v> </v>
      </c>
      <c r="H16" s="268"/>
      <c r="J16" s="277" t="str">
        <f aca="false">IF(ISBLANK('Research Grant'!H60)," ",'Research Grant'!H60)</f>
        <v> </v>
      </c>
      <c r="K16" s="261"/>
    </row>
    <row r="17" customFormat="false" ht="18" hidden="false" customHeight="false" outlineLevel="0" collapsed="false">
      <c r="A17" s="261"/>
      <c r="B17" s="267"/>
      <c r="C17" s="268" t="str">
        <f aca="false">IF(ISBLANK('Research Grant'!C61)," ",'Research Grant'!C61)</f>
        <v> </v>
      </c>
      <c r="D17" s="268"/>
      <c r="G17" s="268" t="str">
        <f aca="false">IF(ISBLANK('Research Grant'!D61)," ",'Research Grant'!D61)</f>
        <v> </v>
      </c>
      <c r="H17" s="276"/>
      <c r="J17" s="277" t="str">
        <f aca="false">IF(ISBLANK('Research Grant'!H61)," ",'Research Grant'!H61)</f>
        <v> </v>
      </c>
      <c r="K17" s="261"/>
    </row>
    <row r="18" customFormat="false" ht="18" hidden="false" customHeight="false" outlineLevel="0" collapsed="false">
      <c r="A18" s="261"/>
      <c r="B18" s="267"/>
      <c r="C18" s="268" t="str">
        <f aca="false">IF(ISBLANK('Research Grant'!C66)," ",'Research Grant'!C66)</f>
        <v>Administratör1</v>
      </c>
      <c r="D18" s="268"/>
      <c r="G18" s="268" t="str">
        <f aca="false">IF(ISBLANK('Research Grant'!D66)," ",'Research Grant'!D66)</f>
        <v> </v>
      </c>
      <c r="H18" s="268"/>
      <c r="J18" s="269" t="str">
        <f aca="false">IF(ISBLANK('Research Grant'!H66)," ",'Research Grant'!H66)</f>
        <v> </v>
      </c>
      <c r="K18" s="261"/>
    </row>
    <row r="19" customFormat="false" ht="18.75" hidden="false" customHeight="false" outlineLevel="0" collapsed="false">
      <c r="A19" s="261"/>
      <c r="B19" s="279"/>
      <c r="C19" s="272" t="str">
        <f aca="false">IF(ISBLANK('Research Grant'!C67)," ",'Research Grant'!C67)</f>
        <v> </v>
      </c>
      <c r="D19" s="280"/>
      <c r="E19" s="260"/>
      <c r="F19" s="260"/>
      <c r="G19" s="280" t="str">
        <f aca="false">IF(ISBLANK('Research Grant'!D67)," ",'Research Grant'!D67)</f>
        <v> </v>
      </c>
      <c r="H19" s="281"/>
      <c r="I19" s="260"/>
      <c r="J19" s="277" t="str">
        <f aca="false">IF(ISBLANK('Research Grant'!H67)," ",'Research Grant'!H67)</f>
        <v> </v>
      </c>
      <c r="K19" s="261"/>
    </row>
    <row r="20" customFormat="false" ht="18" hidden="false" customHeight="false" outlineLevel="0" collapsed="false">
      <c r="C20" s="282"/>
      <c r="J20" s="282"/>
      <c r="K20" s="282"/>
    </row>
    <row r="22" customFormat="false" ht="18" hidden="false" customHeight="false" outlineLevel="0" collapsed="false">
      <c r="B22" s="258"/>
      <c r="C22" s="283" t="str">
        <f aca="false">'Research Grant'!C41</f>
        <v>A.1 Participating personal, with SALARY from KI</v>
      </c>
      <c r="D22" s="283"/>
      <c r="E22" s="283"/>
      <c r="F22" s="283"/>
      <c r="G22" s="258"/>
      <c r="H22" s="258"/>
      <c r="I22" s="258"/>
      <c r="J22" s="258"/>
      <c r="K22" s="258"/>
      <c r="L22" s="258"/>
      <c r="M22" s="258"/>
      <c r="N22" s="258"/>
    </row>
    <row r="23" customFormat="false" ht="18.75" hidden="false" customHeight="false" outlineLevel="0" collapsed="false"/>
    <row r="24" customFormat="false" ht="18" hidden="false" customHeight="false" outlineLevel="0" collapsed="false">
      <c r="B24" s="284"/>
      <c r="C24" s="285" t="str">
        <f aca="false">'Research Grant'!C45</f>
        <v>Name/Role</v>
      </c>
      <c r="D24" s="285"/>
      <c r="E24" s="285"/>
      <c r="F24" s="285"/>
      <c r="G24" s="285" t="s">
        <v>119</v>
      </c>
      <c r="H24" s="285"/>
      <c r="I24" s="285"/>
      <c r="J24" s="285" t="n">
        <f aca="false">'Research Grant'!H40</f>
        <v>2023</v>
      </c>
      <c r="K24" s="285" t="n">
        <f aca="false">'Research Grant'!J40</f>
        <v>2024</v>
      </c>
      <c r="L24" s="285" t="n">
        <f aca="false">'Research Grant'!L40</f>
        <v>2025</v>
      </c>
      <c r="M24" s="285" t="n">
        <f aca="false">'Research Grant'!N40</f>
        <v>2026</v>
      </c>
      <c r="N24" s="264" t="n">
        <f aca="false">'Research Grant'!P40</f>
        <v>2027</v>
      </c>
    </row>
    <row r="25" customFormat="false" ht="18" hidden="false" customHeight="false" outlineLevel="0" collapsed="false">
      <c r="B25" s="286"/>
      <c r="C25" s="268" t="str">
        <f aca="false">C10</f>
        <v>PI</v>
      </c>
      <c r="D25" s="268"/>
      <c r="G25" s="268" t="str">
        <f aca="false">G10</f>
        <v> </v>
      </c>
      <c r="J25" s="287" t="n">
        <f aca="false">'Research Grant'!I46*(1+N10)</f>
        <v>0</v>
      </c>
      <c r="K25" s="287" t="n">
        <f aca="false">'Research Grant'!K46*(1+N10)</f>
        <v>0</v>
      </c>
      <c r="L25" s="287" t="n">
        <f aca="false">'Research Grant'!M46*(1+N10)</f>
        <v>0</v>
      </c>
      <c r="M25" s="287" t="n">
        <f aca="false">'Research Grant'!O46*(1+N10)</f>
        <v>0</v>
      </c>
      <c r="N25" s="288" t="n">
        <f aca="false">'Research Grant'!Q46*(1+N10)</f>
        <v>0</v>
      </c>
    </row>
    <row r="26" customFormat="false" ht="18" hidden="false" customHeight="false" outlineLevel="0" collapsed="false">
      <c r="B26" s="267"/>
      <c r="C26" s="268" t="str">
        <f aca="false">C11</f>
        <v> </v>
      </c>
      <c r="D26" s="276"/>
      <c r="G26" s="268" t="str">
        <f aca="false">G11</f>
        <v> </v>
      </c>
      <c r="J26" s="287" t="n">
        <f aca="false">'Research Grant'!I47*(1+N10)</f>
        <v>0</v>
      </c>
      <c r="K26" s="287" t="n">
        <f aca="false">'Research Grant'!K47*(1+N10)</f>
        <v>0</v>
      </c>
      <c r="L26" s="287" t="n">
        <f aca="false">'Research Grant'!M47*(1+N10)</f>
        <v>0</v>
      </c>
      <c r="M26" s="287" t="n">
        <f aca="false">'Research Grant'!O47*(1+N10)</f>
        <v>0</v>
      </c>
      <c r="N26" s="288" t="n">
        <f aca="false">'Research Grant'!Q47*(1+N10)</f>
        <v>0</v>
      </c>
      <c r="BD26" s="289"/>
      <c r="BE26" s="289"/>
      <c r="BF26" s="289"/>
      <c r="BG26" s="289"/>
      <c r="BH26" s="289"/>
      <c r="BI26" s="289"/>
      <c r="BJ26" s="289"/>
      <c r="BK26" s="289"/>
      <c r="BL26" s="289"/>
      <c r="BM26" s="289"/>
      <c r="BN26" s="289"/>
      <c r="BO26" s="289"/>
      <c r="BP26" s="289"/>
      <c r="BQ26" s="289"/>
      <c r="BR26" s="289"/>
      <c r="BS26" s="289"/>
      <c r="BT26" s="289"/>
      <c r="BU26" s="289"/>
      <c r="BV26" s="289"/>
      <c r="BW26" s="289"/>
      <c r="BX26" s="289"/>
      <c r="BY26" s="289"/>
      <c r="BZ26" s="289"/>
      <c r="CA26" s="289"/>
      <c r="CB26" s="289"/>
      <c r="CC26" s="290"/>
    </row>
    <row r="27" customFormat="false" ht="18" hidden="false" customHeight="false" outlineLevel="0" collapsed="false">
      <c r="B27" s="267"/>
      <c r="C27" s="268" t="str">
        <f aca="false">C12</f>
        <v> </v>
      </c>
      <c r="D27" s="268"/>
      <c r="G27" s="268" t="str">
        <f aca="false">G12</f>
        <v> </v>
      </c>
      <c r="J27" s="287" t="n">
        <f aca="false">'Research Grant'!I48*(1+N10)</f>
        <v>0</v>
      </c>
      <c r="K27" s="287" t="n">
        <f aca="false">'Research Grant'!K48*(1+N10)</f>
        <v>0</v>
      </c>
      <c r="L27" s="287" t="n">
        <f aca="false">'Research Grant'!M48*(1+N10)</f>
        <v>0</v>
      </c>
      <c r="M27" s="287" t="n">
        <f aca="false">'Research Grant'!O48*(1+N10)</f>
        <v>0</v>
      </c>
      <c r="N27" s="288" t="n">
        <f aca="false">'Research Grant'!Q48*(1+N10)</f>
        <v>0</v>
      </c>
      <c r="CC27" s="291"/>
    </row>
    <row r="28" customFormat="false" ht="18" hidden="false" customHeight="false" outlineLevel="0" collapsed="false">
      <c r="B28" s="267"/>
      <c r="C28" s="268" t="str">
        <f aca="false">C13</f>
        <v> </v>
      </c>
      <c r="D28" s="268"/>
      <c r="G28" s="268" t="str">
        <f aca="false">G13</f>
        <v> </v>
      </c>
      <c r="J28" s="287" t="n">
        <f aca="false">'Research Grant'!I49*(1+N10)</f>
        <v>0</v>
      </c>
      <c r="K28" s="287" t="n">
        <f aca="false">'Research Grant'!K49*(1+N10)</f>
        <v>0</v>
      </c>
      <c r="L28" s="287" t="n">
        <f aca="false">'Research Grant'!M49*(1+N10)</f>
        <v>0</v>
      </c>
      <c r="M28" s="287" t="n">
        <f aca="false">'Research Grant'!O49*(1+N10)</f>
        <v>0</v>
      </c>
      <c r="N28" s="288" t="n">
        <f aca="false">'Research Grant'!Q49*(1+N10)</f>
        <v>0</v>
      </c>
      <c r="CC28" s="291"/>
    </row>
    <row r="29" customFormat="false" ht="18" hidden="false" customHeight="false" outlineLevel="0" collapsed="false">
      <c r="B29" s="267"/>
      <c r="C29" s="268" t="str">
        <f aca="false">C14</f>
        <v>Doktorand1</v>
      </c>
      <c r="D29" s="268"/>
      <c r="G29" s="268" t="str">
        <f aca="false">G14</f>
        <v> </v>
      </c>
      <c r="J29" s="292" t="n">
        <f aca="false">'Research Grant'!I54*(1+N10)</f>
        <v>0</v>
      </c>
      <c r="K29" s="287" t="n">
        <f aca="false">'Research Grant'!K54*(1+N10)</f>
        <v>0</v>
      </c>
      <c r="L29" s="287" t="n">
        <f aca="false">'Research Grant'!M54*(1+N10)</f>
        <v>0</v>
      </c>
      <c r="M29" s="287" t="n">
        <f aca="false">'Research Grant'!O54*(1+N10)</f>
        <v>0</v>
      </c>
      <c r="N29" s="288" t="n">
        <f aca="false">'Research Grant'!Q54*(1+N10)</f>
        <v>0</v>
      </c>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4"/>
    </row>
    <row r="30" customFormat="false" ht="18" hidden="false" customHeight="false" outlineLevel="0" collapsed="false">
      <c r="B30" s="267"/>
      <c r="C30" s="268" t="str">
        <f aca="false">C15</f>
        <v> </v>
      </c>
      <c r="D30" s="276"/>
      <c r="G30" s="268" t="str">
        <f aca="false">G15</f>
        <v> </v>
      </c>
      <c r="J30" s="292" t="n">
        <f aca="false">'Research Grant'!I55*(1+N10)</f>
        <v>0</v>
      </c>
      <c r="K30" s="287" t="n">
        <f aca="false">'Research Grant'!K55*(1+N10)</f>
        <v>0</v>
      </c>
      <c r="L30" s="287" t="n">
        <f aca="false">'Research Grant'!M55*(1+N10)</f>
        <v>0</v>
      </c>
      <c r="M30" s="287" t="n">
        <f aca="false">'Research Grant'!O55*(1+N10)</f>
        <v>0</v>
      </c>
      <c r="N30" s="288" t="n">
        <f aca="false">'Research Grant'!Q55*(1+N10)</f>
        <v>0</v>
      </c>
    </row>
    <row r="31" customFormat="false" ht="18" hidden="false" customHeight="false" outlineLevel="0" collapsed="false">
      <c r="B31" s="267"/>
      <c r="C31" s="268" t="str">
        <f aca="false">C16</f>
        <v>Research assistent</v>
      </c>
      <c r="D31" s="272"/>
      <c r="G31" s="268" t="str">
        <f aca="false">G16</f>
        <v> </v>
      </c>
      <c r="J31" s="287" t="n">
        <f aca="false">'Research Grant'!I60*(1+N10)</f>
        <v>0</v>
      </c>
      <c r="K31" s="287" t="n">
        <f aca="false">'Research Grant'!K60*(1+N10)</f>
        <v>0</v>
      </c>
      <c r="L31" s="287" t="n">
        <f aca="false">'Research Grant'!M60*(1+N10)</f>
        <v>0</v>
      </c>
      <c r="M31" s="287" t="n">
        <f aca="false">'Research Grant'!O60*(1+N10)</f>
        <v>0</v>
      </c>
      <c r="N31" s="288" t="n">
        <f aca="false">'Research Grant'!Q60*(1+N10)</f>
        <v>0</v>
      </c>
    </row>
    <row r="32" customFormat="false" ht="18" hidden="false" customHeight="false" outlineLevel="0" collapsed="false">
      <c r="B32" s="267"/>
      <c r="C32" s="268" t="str">
        <f aca="false">C17</f>
        <v> </v>
      </c>
      <c r="D32" s="272"/>
      <c r="G32" s="268" t="str">
        <f aca="false">G17</f>
        <v> </v>
      </c>
      <c r="J32" s="287" t="n">
        <f aca="false">'Research Grant'!I61*(1+N10)</f>
        <v>0</v>
      </c>
      <c r="K32" s="287" t="n">
        <f aca="false">'Research Grant'!K61*(1+N10)</f>
        <v>0</v>
      </c>
      <c r="L32" s="287" t="n">
        <f aca="false">'Research Grant'!M61*(1+N10)</f>
        <v>0</v>
      </c>
      <c r="M32" s="287" t="n">
        <f aca="false">'Research Grant'!O61*(1+N10)</f>
        <v>0</v>
      </c>
      <c r="N32" s="288" t="n">
        <f aca="false">'Research Grant'!Q61*(1+N10)</f>
        <v>0</v>
      </c>
    </row>
    <row r="33" customFormat="false" ht="18" hidden="false" customHeight="false" outlineLevel="0" collapsed="false">
      <c r="B33" s="267"/>
      <c r="C33" s="268" t="str">
        <f aca="false">C18</f>
        <v>Administratör1</v>
      </c>
      <c r="D33" s="272"/>
      <c r="G33" s="268" t="str">
        <f aca="false">G18</f>
        <v> </v>
      </c>
      <c r="J33" s="287" t="n">
        <f aca="false">'Research Grant'!I66*(1+N10)</f>
        <v>0</v>
      </c>
      <c r="K33" s="287" t="n">
        <f aca="false">'Research Grant'!K66*(1+N10)</f>
        <v>0</v>
      </c>
      <c r="L33" s="287" t="n">
        <f aca="false">'Research Grant'!M66*(1+N10)</f>
        <v>0</v>
      </c>
      <c r="M33" s="287" t="n">
        <f aca="false">'Research Grant'!O66*(1+N10)</f>
        <v>0</v>
      </c>
      <c r="N33" s="288" t="n">
        <f aca="false">'Research Grant'!Q66*(1+N10)</f>
        <v>0</v>
      </c>
    </row>
    <row r="34" customFormat="false" ht="18" hidden="false" customHeight="false" outlineLevel="0" collapsed="false">
      <c r="B34" s="267"/>
      <c r="C34" s="295" t="str">
        <f aca="false">C19</f>
        <v> </v>
      </c>
      <c r="D34" s="295"/>
      <c r="G34" s="295" t="str">
        <f aca="false">G19</f>
        <v> </v>
      </c>
      <c r="J34" s="287" t="n">
        <f aca="false">'Research Grant'!I67*(1+N10)</f>
        <v>0</v>
      </c>
      <c r="K34" s="287" t="n">
        <f aca="false">'Research Grant'!K67*(1+N10)</f>
        <v>0</v>
      </c>
      <c r="L34" s="287" t="n">
        <f aca="false">'Research Grant'!M67*(1+N10)</f>
        <v>0</v>
      </c>
      <c r="M34" s="296" t="n">
        <f aca="false">'Research Grant'!O67*(1+N10)</f>
        <v>0</v>
      </c>
      <c r="N34" s="288" t="n">
        <f aca="false">'Research Grant'!Q67*(1+N10)</f>
        <v>0</v>
      </c>
    </row>
    <row r="35" customFormat="false" ht="19.5" hidden="false" customHeight="false" outlineLevel="0" collapsed="false">
      <c r="B35" s="297" t="s">
        <v>233</v>
      </c>
      <c r="C35" s="260"/>
      <c r="D35" s="260"/>
      <c r="E35" s="260"/>
      <c r="F35" s="260"/>
      <c r="G35" s="260"/>
      <c r="H35" s="260"/>
      <c r="I35" s="260"/>
      <c r="J35" s="298" t="n">
        <f aca="false">'Research Grant'!H75</f>
        <v>0</v>
      </c>
      <c r="K35" s="298" t="n">
        <f aca="false">'Research Grant'!J75</f>
        <v>0</v>
      </c>
      <c r="L35" s="298" t="n">
        <f aca="false">'Research Grant'!L75</f>
        <v>0</v>
      </c>
      <c r="M35" s="298" t="n">
        <f aca="false">'Research Grant'!N75</f>
        <v>0</v>
      </c>
      <c r="N35" s="298" t="n">
        <f aca="false">'Research Grant'!P75</f>
        <v>0</v>
      </c>
      <c r="O35" s="267"/>
    </row>
    <row r="39" customFormat="false" ht="18" hidden="false" customHeight="false" outlineLevel="0" collapsed="false">
      <c r="B39" s="258"/>
      <c r="C39" s="262" t="s">
        <v>234</v>
      </c>
      <c r="D39" s="262"/>
      <c r="E39" s="258"/>
      <c r="F39" s="258"/>
      <c r="G39" s="258"/>
      <c r="H39" s="258"/>
      <c r="I39" s="258"/>
      <c r="J39" s="258"/>
      <c r="K39" s="258"/>
      <c r="L39" s="258"/>
      <c r="M39" s="258"/>
      <c r="N39" s="258"/>
      <c r="O39" s="258"/>
      <c r="P39" s="258"/>
    </row>
    <row r="40" customFormat="false" ht="18.75" hidden="false" customHeight="false" outlineLevel="0" collapsed="false"/>
    <row r="41" customFormat="false" ht="18" hidden="false" customHeight="false" outlineLevel="0" collapsed="false">
      <c r="B41" s="299"/>
      <c r="C41" s="300" t="str">
        <f aca="false">'Research Grant'!C100</f>
        <v>B.2 Operating costs (Room- and KI-internal costs are not included here)</v>
      </c>
      <c r="D41" s="300"/>
      <c r="E41" s="300"/>
      <c r="F41" s="300"/>
      <c r="G41" s="300"/>
      <c r="H41" s="300"/>
      <c r="I41" s="300"/>
      <c r="J41" s="300"/>
      <c r="K41" s="285"/>
      <c r="L41" s="300" t="n">
        <f aca="false">J24</f>
        <v>2023</v>
      </c>
      <c r="M41" s="285" t="n">
        <f aca="false">K24</f>
        <v>2024</v>
      </c>
      <c r="N41" s="285" t="n">
        <f aca="false">L24</f>
        <v>2025</v>
      </c>
      <c r="O41" s="285" t="n">
        <f aca="false">M24</f>
        <v>2026</v>
      </c>
      <c r="P41" s="264" t="n">
        <f aca="false">N24</f>
        <v>2027</v>
      </c>
    </row>
    <row r="42" customFormat="false" ht="17.45" hidden="false" customHeight="true" outlineLevel="0" collapsed="false">
      <c r="B42" s="267"/>
      <c r="C42" s="301" t="str">
        <f aca="false">IF(ISBLANK('Research Grant'!C94)," ",'Research Grant'!C94)</f>
        <v> </v>
      </c>
      <c r="D42" s="301"/>
      <c r="E42" s="302"/>
      <c r="F42" s="302"/>
      <c r="G42" s="303"/>
      <c r="H42" s="303"/>
      <c r="I42" s="303"/>
      <c r="J42" s="304"/>
      <c r="L42" s="305" t="n">
        <f aca="false">'Research Grant'!I94</f>
        <v>0</v>
      </c>
      <c r="M42" s="306" t="n">
        <f aca="false">'Research Grant'!K94</f>
        <v>0</v>
      </c>
      <c r="N42" s="306" t="n">
        <f aca="false">'Research Grant'!M94</f>
        <v>0</v>
      </c>
      <c r="O42" s="306" t="n">
        <f aca="false">'Research Grant'!O94</f>
        <v>0</v>
      </c>
      <c r="P42" s="307" t="n">
        <f aca="false">'Research Grant'!Q94</f>
        <v>0</v>
      </c>
      <c r="Q42" s="267"/>
    </row>
    <row r="43" customFormat="false" ht="18" hidden="false" customHeight="false" outlineLevel="0" collapsed="false">
      <c r="B43" s="267"/>
      <c r="C43" s="301" t="str">
        <f aca="false">IF(ISBLANK('Research Grant'!C95)," ",'Research Grant'!C95)</f>
        <v> </v>
      </c>
      <c r="D43" s="268"/>
      <c r="E43" s="302"/>
      <c r="F43" s="302"/>
      <c r="G43" s="302"/>
      <c r="H43" s="302"/>
      <c r="I43" s="302"/>
      <c r="J43" s="308"/>
      <c r="L43" s="305" t="n">
        <f aca="false">'Research Grant'!I95</f>
        <v>0</v>
      </c>
      <c r="M43" s="309" t="n">
        <f aca="false">'Research Grant'!K95</f>
        <v>0</v>
      </c>
      <c r="N43" s="309" t="n">
        <f aca="false">'Research Grant'!M95</f>
        <v>0</v>
      </c>
      <c r="O43" s="309" t="n">
        <f aca="false">'Research Grant'!O95</f>
        <v>0</v>
      </c>
      <c r="P43" s="310" t="n">
        <f aca="false">'Research Grant'!Q95</f>
        <v>0</v>
      </c>
      <c r="Q43" s="267"/>
    </row>
    <row r="44" customFormat="false" ht="18" hidden="false" customHeight="false" outlineLevel="0" collapsed="false">
      <c r="B44" s="267"/>
      <c r="C44" s="301" t="str">
        <f aca="false">IF(ISBLANK('Research Grant'!C96)," ",'Research Grant'!C96)</f>
        <v> </v>
      </c>
      <c r="D44" s="268"/>
      <c r="E44" s="302"/>
      <c r="F44" s="302"/>
      <c r="G44" s="302"/>
      <c r="H44" s="302"/>
      <c r="I44" s="302"/>
      <c r="J44" s="308"/>
      <c r="L44" s="305" t="n">
        <f aca="false">'Research Grant'!I96</f>
        <v>0</v>
      </c>
      <c r="M44" s="309" t="n">
        <f aca="false">'Research Grant'!K96</f>
        <v>0</v>
      </c>
      <c r="N44" s="309" t="n">
        <f aca="false">'Research Grant'!M96</f>
        <v>0</v>
      </c>
      <c r="O44" s="309" t="n">
        <f aca="false">'Research Grant'!O96</f>
        <v>0</v>
      </c>
      <c r="P44" s="310" t="n">
        <f aca="false">'Research Grant'!Q96</f>
        <v>0</v>
      </c>
    </row>
    <row r="45" customFormat="false" ht="18" hidden="false" customHeight="false" outlineLevel="0" collapsed="false">
      <c r="B45" s="267"/>
      <c r="C45" s="276" t="str">
        <f aca="false">IF(ISBLANK('Research Grant'!C104)," ",'Research Grant'!C104)</f>
        <v>TGI trial costs</v>
      </c>
      <c r="D45" s="268"/>
      <c r="E45" s="302"/>
      <c r="F45" s="302"/>
      <c r="G45" s="302"/>
      <c r="H45" s="302"/>
      <c r="I45" s="302"/>
      <c r="J45" s="308"/>
      <c r="L45" s="305" t="n">
        <f aca="false">'Research Grant'!I104</f>
        <v>357000</v>
      </c>
      <c r="M45" s="309" t="n">
        <f aca="false">'Research Grant'!K104</f>
        <v>153000</v>
      </c>
      <c r="N45" s="309" t="n">
        <f aca="false">'Research Grant'!M104</f>
        <v>0</v>
      </c>
      <c r="O45" s="309" t="n">
        <f aca="false">'Research Grant'!O104</f>
        <v>0</v>
      </c>
      <c r="P45" s="310" t="n">
        <f aca="false">'Research Grant'!Q104</f>
        <v>0</v>
      </c>
    </row>
    <row r="46" customFormat="false" ht="18" hidden="false" customHeight="false" outlineLevel="0" collapsed="false">
      <c r="B46" s="267"/>
      <c r="C46" s="276" t="str">
        <f aca="false">IF(ISBLANK('Research Grant'!C105)," ",'Research Grant'!C105)</f>
        <v>Consultanthours</v>
      </c>
      <c r="D46" s="276"/>
      <c r="E46" s="302"/>
      <c r="F46" s="311"/>
      <c r="G46" s="311"/>
      <c r="H46" s="311"/>
      <c r="I46" s="311"/>
      <c r="J46" s="312"/>
      <c r="L46" s="305" t="n">
        <f aca="false">'Research Grant'!I105</f>
        <v>0</v>
      </c>
      <c r="M46" s="309" t="n">
        <f aca="false">'Research Grant'!K105</f>
        <v>0</v>
      </c>
      <c r="N46" s="309" t="n">
        <f aca="false">'Research Grant'!M105</f>
        <v>0</v>
      </c>
      <c r="O46" s="309" t="n">
        <f aca="false">'Research Grant'!O105</f>
        <v>0</v>
      </c>
      <c r="P46" s="313" t="n">
        <f aca="false">'Research Grant'!Q105</f>
        <v>0</v>
      </c>
    </row>
    <row r="47" customFormat="false" ht="18" hidden="false" customHeight="false" outlineLevel="0" collapsed="false">
      <c r="B47" s="267"/>
      <c r="C47" s="276" t="str">
        <f aca="false">IF(ISBLANK('Research Grant'!C106)," ",'Research Grant'!C106)</f>
        <v>Literature</v>
      </c>
      <c r="D47" s="314"/>
      <c r="E47" s="302"/>
      <c r="F47" s="302"/>
      <c r="G47" s="302"/>
      <c r="H47" s="302"/>
      <c r="I47" s="302"/>
      <c r="J47" s="308"/>
      <c r="L47" s="305" t="n">
        <f aca="false">'Research Grant'!I106</f>
        <v>0</v>
      </c>
      <c r="M47" s="315" t="n">
        <f aca="false">'Research Grant'!K106</f>
        <v>0</v>
      </c>
      <c r="N47" s="315" t="n">
        <f aca="false">'Research Grant'!M106</f>
        <v>0</v>
      </c>
      <c r="O47" s="315" t="n">
        <f aca="false">'Research Grant'!O106</f>
        <v>0</v>
      </c>
      <c r="P47" s="316" t="n">
        <f aca="false">'Research Grant'!Q106</f>
        <v>0</v>
      </c>
    </row>
    <row r="48" customFormat="false" ht="18" hidden="false" customHeight="false" outlineLevel="0" collapsed="false">
      <c r="B48" s="267"/>
      <c r="C48" s="317" t="str">
        <f aca="false">IF(ISBLANK('Research Grant'!C107)," ",'Research Grant'!C107)</f>
        <v>Licenses etc</v>
      </c>
      <c r="D48" s="318"/>
      <c r="E48" s="302"/>
      <c r="F48" s="311"/>
      <c r="G48" s="311"/>
      <c r="H48" s="311"/>
      <c r="I48" s="311"/>
      <c r="J48" s="312"/>
      <c r="L48" s="305" t="n">
        <f aca="false">'Research Grant'!I107</f>
        <v>0</v>
      </c>
      <c r="M48" s="309" t="n">
        <f aca="false">'Research Grant'!K107</f>
        <v>0</v>
      </c>
      <c r="N48" s="309" t="n">
        <f aca="false">'Research Grant'!M107</f>
        <v>0</v>
      </c>
      <c r="O48" s="309" t="n">
        <f aca="false">'Research Grant'!O107</f>
        <v>0</v>
      </c>
      <c r="P48" s="313" t="n">
        <f aca="false">'Research Grant'!Q107</f>
        <v>0</v>
      </c>
    </row>
    <row r="49" customFormat="false" ht="18" hidden="false" customHeight="false" outlineLevel="0" collapsed="false">
      <c r="B49" s="267"/>
      <c r="C49" s="317" t="str">
        <f aca="false">IF(ISBLANK('Research Grant'!C108)," ",'Research Grant'!C108)</f>
        <v> </v>
      </c>
      <c r="D49" s="319"/>
      <c r="E49" s="302"/>
      <c r="F49" s="302"/>
      <c r="G49" s="302"/>
      <c r="H49" s="302"/>
      <c r="I49" s="302"/>
      <c r="J49" s="308"/>
      <c r="L49" s="305" t="n">
        <f aca="false">'Research Grant'!I108</f>
        <v>0</v>
      </c>
      <c r="M49" s="309" t="n">
        <f aca="false">'Research Grant'!K108</f>
        <v>0</v>
      </c>
      <c r="N49" s="309" t="n">
        <f aca="false">'Research Grant'!M108</f>
        <v>0</v>
      </c>
      <c r="O49" s="309" t="n">
        <f aca="false">'Research Grant'!O108</f>
        <v>0</v>
      </c>
      <c r="P49" s="310" t="n">
        <f aca="false">'Research Grant'!Q108</f>
        <v>0</v>
      </c>
    </row>
    <row r="50" customFormat="false" ht="18" hidden="false" customHeight="false" outlineLevel="0" collapsed="false">
      <c r="B50" s="267"/>
      <c r="C50" s="319" t="str">
        <f aca="false">IF(ISBLANK('Research Grant'!C109)," ",'Research Grant'!C109)</f>
        <v> </v>
      </c>
      <c r="D50" s="318"/>
      <c r="E50" s="302"/>
      <c r="F50" s="320"/>
      <c r="G50" s="302"/>
      <c r="H50" s="311"/>
      <c r="I50" s="311"/>
      <c r="J50" s="312"/>
      <c r="L50" s="305" t="n">
        <f aca="false">'Research Grant'!I109</f>
        <v>0</v>
      </c>
      <c r="M50" s="309" t="n">
        <f aca="false">'Research Grant'!K109</f>
        <v>0</v>
      </c>
      <c r="N50" s="309" t="n">
        <f aca="false">'Research Grant'!M109</f>
        <v>0</v>
      </c>
      <c r="O50" s="309" t="n">
        <f aca="false">'Research Grant'!O109</f>
        <v>0</v>
      </c>
      <c r="P50" s="313" t="n">
        <f aca="false">'Research Grant'!Q109</f>
        <v>0</v>
      </c>
    </row>
    <row r="51" customFormat="false" ht="18" hidden="false" customHeight="false" outlineLevel="0" collapsed="false">
      <c r="B51" s="267"/>
      <c r="C51" s="276" t="str">
        <f aca="false">IF(ISBLANK('Research Grant'!C110)," ",'Research Grant'!C110)</f>
        <v> </v>
      </c>
      <c r="D51" s="318"/>
      <c r="E51" s="302"/>
      <c r="F51" s="320"/>
      <c r="G51" s="320"/>
      <c r="H51" s="321"/>
      <c r="I51" s="322"/>
      <c r="J51" s="323"/>
      <c r="L51" s="324" t="n">
        <f aca="false">'Research Grant'!I110</f>
        <v>0</v>
      </c>
      <c r="M51" s="306" t="n">
        <f aca="false">'Research Grant'!K110</f>
        <v>0</v>
      </c>
      <c r="N51" s="306" t="n">
        <f aca="false">'Research Grant'!M110</f>
        <v>0</v>
      </c>
      <c r="O51" s="306" t="n">
        <f aca="false">'Research Grant'!O110</f>
        <v>0</v>
      </c>
      <c r="P51" s="307" t="n">
        <f aca="false">'Research Grant'!Q110</f>
        <v>0</v>
      </c>
    </row>
    <row r="52" customFormat="false" ht="18" hidden="false" customHeight="false" outlineLevel="0" collapsed="false">
      <c r="B52" s="267"/>
      <c r="C52" s="317" t="str">
        <f aca="false">IF(ISBLANK('Research Grant'!C111)," ",'Research Grant'!C111)</f>
        <v> </v>
      </c>
      <c r="D52" s="319"/>
      <c r="E52" s="302"/>
      <c r="F52" s="321"/>
      <c r="G52" s="325"/>
      <c r="H52" s="325"/>
      <c r="I52" s="325"/>
      <c r="J52" s="326"/>
      <c r="L52" s="309" t="n">
        <f aca="false">'Research Grant'!I111</f>
        <v>0</v>
      </c>
      <c r="M52" s="309" t="n">
        <f aca="false">'Research Grant'!K111</f>
        <v>0</v>
      </c>
      <c r="N52" s="309" t="n">
        <f aca="false">'Research Grant'!M111</f>
        <v>0</v>
      </c>
      <c r="O52" s="309" t="n">
        <f aca="false">'Research Grant'!O111</f>
        <v>0</v>
      </c>
      <c r="P52" s="310" t="n">
        <f aca="false">'Research Grant'!Q111</f>
        <v>0</v>
      </c>
    </row>
    <row r="53" customFormat="false" ht="18" hidden="false" customHeight="false" outlineLevel="0" collapsed="false">
      <c r="B53" s="267"/>
      <c r="C53" s="317" t="str">
        <f aca="false">IF(ISBLANK('Research Grant'!C112)," ",'Research Grant'!C112)</f>
        <v> </v>
      </c>
      <c r="D53" s="319"/>
      <c r="E53" s="302"/>
      <c r="F53" s="321"/>
      <c r="G53" s="321"/>
      <c r="H53" s="321"/>
      <c r="I53" s="321"/>
      <c r="J53" s="323"/>
      <c r="L53" s="309" t="n">
        <f aca="false">'Research Grant'!I112</f>
        <v>0</v>
      </c>
      <c r="M53" s="309" t="n">
        <f aca="false">'Research Grant'!K112</f>
        <v>0</v>
      </c>
      <c r="N53" s="309" t="n">
        <f aca="false">'Research Grant'!M112</f>
        <v>0</v>
      </c>
      <c r="O53" s="327" t="n">
        <f aca="false">'Research Grant'!O112</f>
        <v>0</v>
      </c>
      <c r="P53" s="310" t="n">
        <f aca="false">'Research Grant'!Q112</f>
        <v>0</v>
      </c>
    </row>
    <row r="54" customFormat="false" ht="18.75" hidden="false" customHeight="false" outlineLevel="0" collapsed="false">
      <c r="B54" s="328" t="s">
        <v>233</v>
      </c>
      <c r="C54" s="329"/>
      <c r="E54" s="330"/>
      <c r="F54" s="331"/>
      <c r="G54" s="331"/>
      <c r="H54" s="331"/>
      <c r="I54" s="331"/>
      <c r="J54" s="331"/>
      <c r="L54" s="332" t="n">
        <f aca="false">'Research Grant'!H98+'Research Grant'!H114</f>
        <v>357000</v>
      </c>
      <c r="M54" s="332" t="n">
        <f aca="false">'Research Grant'!J98+'Research Grant'!J114</f>
        <v>153000</v>
      </c>
      <c r="N54" s="332" t="n">
        <f aca="false">'Research Grant'!L98+'Research Grant'!L114</f>
        <v>0</v>
      </c>
      <c r="O54" s="333" t="n">
        <f aca="false">'Research Grant'!N98+'Research Grant'!N114</f>
        <v>0</v>
      </c>
      <c r="P54" s="334" t="n">
        <f aca="false">'Research Grant'!P98+'Research Grant'!P114</f>
        <v>0</v>
      </c>
    </row>
    <row r="55" customFormat="false" ht="18.75" hidden="false" customHeight="false" outlineLevel="0" collapsed="false">
      <c r="A55" s="261"/>
      <c r="B55" s="279" t="s">
        <v>235</v>
      </c>
      <c r="C55" s="335"/>
      <c r="D55" s="335"/>
      <c r="E55" s="260"/>
      <c r="F55" s="336"/>
      <c r="G55" s="336"/>
      <c r="H55" s="336"/>
      <c r="I55" s="336"/>
      <c r="J55" s="336"/>
      <c r="K55" s="260"/>
      <c r="L55" s="337" t="n">
        <f aca="false">L54*(1+N11)</f>
        <v>447678</v>
      </c>
      <c r="M55" s="337" t="n">
        <f aca="false">M54*(1+N11)</f>
        <v>191862</v>
      </c>
      <c r="N55" s="337" t="n">
        <f aca="false">N54*(1+N11)</f>
        <v>0</v>
      </c>
      <c r="O55" s="337" t="n">
        <f aca="false">O54*(1+N11)</f>
        <v>0</v>
      </c>
      <c r="P55" s="337" t="n">
        <f aca="false">P54*(1+N11)</f>
        <v>0</v>
      </c>
      <c r="Q55" s="267"/>
    </row>
    <row r="57" customFormat="false" ht="18.75" hidden="false" customHeight="false" outlineLevel="0" collapsed="false"/>
    <row r="58" customFormat="false" ht="18" hidden="false" customHeight="false" outlineLevel="0" collapsed="false">
      <c r="B58" s="284"/>
      <c r="C58" s="285" t="str">
        <f aca="false">'Research Grant'!C116</f>
        <v>B.3 Operating costs (Internal)</v>
      </c>
      <c r="D58" s="285"/>
      <c r="E58" s="285"/>
      <c r="F58" s="285"/>
      <c r="G58" s="285"/>
      <c r="H58" s="285"/>
      <c r="I58" s="285"/>
      <c r="J58" s="285"/>
      <c r="K58" s="285"/>
      <c r="L58" s="285" t="n">
        <f aca="false">L41</f>
        <v>2023</v>
      </c>
      <c r="M58" s="285" t="n">
        <f aca="false">M41</f>
        <v>2024</v>
      </c>
      <c r="N58" s="338" t="n">
        <f aca="false">N41</f>
        <v>2025</v>
      </c>
      <c r="O58" s="339" t="n">
        <f aca="false">O41</f>
        <v>2026</v>
      </c>
      <c r="P58" s="340" t="n">
        <f aca="false">P41</f>
        <v>2027</v>
      </c>
    </row>
    <row r="59" customFormat="false" ht="18" hidden="false" customHeight="false" outlineLevel="0" collapsed="false">
      <c r="A59" s="261"/>
      <c r="B59" s="245" t="n">
        <v>1</v>
      </c>
      <c r="C59" s="318" t="str">
        <f aca="false">'Research Grant'!C120</f>
        <v>Anl 1</v>
      </c>
      <c r="D59" s="318"/>
      <c r="E59" s="318"/>
      <c r="F59" s="318"/>
      <c r="G59" s="318"/>
      <c r="H59" s="318"/>
      <c r="L59" s="306" t="n">
        <f aca="false">'Research Grant'!I120</f>
        <v>0</v>
      </c>
      <c r="M59" s="306" t="n">
        <f aca="false">'Research Grant'!K120</f>
        <v>0</v>
      </c>
      <c r="N59" s="306" t="n">
        <f aca="false">'Research Grant'!M120</f>
        <v>0</v>
      </c>
      <c r="O59" s="306" t="n">
        <f aca="false">'Research Grant'!O120</f>
        <v>0</v>
      </c>
      <c r="P59" s="307" t="n">
        <f aca="false">'Research Grant'!Q120</f>
        <v>0</v>
      </c>
    </row>
    <row r="60" customFormat="false" ht="18" hidden="false" customHeight="false" outlineLevel="0" collapsed="false">
      <c r="A60" s="261"/>
      <c r="B60" s="245" t="n">
        <v>2</v>
      </c>
      <c r="C60" s="319" t="n">
        <f aca="false">'Research Grant'!C121</f>
        <v>0</v>
      </c>
      <c r="D60" s="319"/>
      <c r="E60" s="319"/>
      <c r="F60" s="319"/>
      <c r="G60" s="319"/>
      <c r="H60" s="319"/>
      <c r="L60" s="309" t="n">
        <f aca="false">'Research Grant'!I121</f>
        <v>0</v>
      </c>
      <c r="M60" s="309" t="n">
        <f aca="false">'Research Grant'!K121</f>
        <v>0</v>
      </c>
      <c r="N60" s="309" t="n">
        <f aca="false">'Research Grant'!M121</f>
        <v>0</v>
      </c>
      <c r="O60" s="309" t="n">
        <f aca="false">'Research Grant'!O121</f>
        <v>0</v>
      </c>
      <c r="P60" s="310" t="n">
        <f aca="false">'Research Grant'!Q121</f>
        <v>0</v>
      </c>
    </row>
    <row r="61" customFormat="false" ht="18" hidden="false" customHeight="false" outlineLevel="0" collapsed="false">
      <c r="A61" s="261"/>
      <c r="B61" s="245" t="n">
        <v>3</v>
      </c>
      <c r="C61" s="319" t="str">
        <f aca="false">'Research Grant'!C125</f>
        <v>Office room 1</v>
      </c>
      <c r="D61" s="319"/>
      <c r="E61" s="319"/>
      <c r="F61" s="319"/>
      <c r="G61" s="319"/>
      <c r="H61" s="319"/>
      <c r="L61" s="309" t="n">
        <f aca="false">'Research Grant'!I125</f>
        <v>0</v>
      </c>
      <c r="M61" s="309" t="n">
        <f aca="false">'Research Grant'!K125</f>
        <v>0</v>
      </c>
      <c r="N61" s="309" t="n">
        <f aca="false">'Research Grant'!K125</f>
        <v>0</v>
      </c>
      <c r="O61" s="309" t="n">
        <f aca="false">'Research Grant'!M125</f>
        <v>0</v>
      </c>
      <c r="P61" s="310" t="n">
        <f aca="false">'Research Grant'!Q125</f>
        <v>0</v>
      </c>
    </row>
    <row r="62" customFormat="false" ht="18" hidden="false" customHeight="false" outlineLevel="0" collapsed="false">
      <c r="A62" s="261"/>
      <c r="B62" s="245" t="n">
        <v>4</v>
      </c>
      <c r="C62" s="319" t="str">
        <f aca="false">'Research Grant'!C126</f>
        <v>Office room 1</v>
      </c>
      <c r="D62" s="319"/>
      <c r="E62" s="319"/>
      <c r="F62" s="319"/>
      <c r="G62" s="319"/>
      <c r="H62" s="319"/>
      <c r="L62" s="309" t="n">
        <f aca="false">'Research Grant'!I126</f>
        <v>0</v>
      </c>
      <c r="M62" s="309" t="n">
        <f aca="false">'Research Grant'!K126</f>
        <v>0</v>
      </c>
      <c r="N62" s="309" t="n">
        <f aca="false">'Research Grant'!K126</f>
        <v>0</v>
      </c>
      <c r="O62" s="309" t="n">
        <f aca="false">'Research Grant'!M126</f>
        <v>0</v>
      </c>
      <c r="P62" s="310" t="n">
        <f aca="false">'Research Grant'!Q126</f>
        <v>0</v>
      </c>
    </row>
    <row r="63" customFormat="false" ht="18" hidden="false" customHeight="false" outlineLevel="0" collapsed="false">
      <c r="A63" s="261"/>
      <c r="B63" s="245" t="n">
        <v>5</v>
      </c>
      <c r="C63" s="319" t="n">
        <f aca="false">'Research Grant'!C127</f>
        <v>0</v>
      </c>
      <c r="D63" s="319"/>
      <c r="E63" s="319"/>
      <c r="F63" s="319"/>
      <c r="G63" s="319"/>
      <c r="H63" s="319"/>
      <c r="L63" s="309" t="n">
        <f aca="false">'Research Grant'!I127</f>
        <v>0</v>
      </c>
      <c r="M63" s="309" t="n">
        <f aca="false">'Research Grant'!K127</f>
        <v>0</v>
      </c>
      <c r="N63" s="309" t="n">
        <f aca="false">'Research Grant'!K127</f>
        <v>0</v>
      </c>
      <c r="O63" s="309" t="n">
        <f aca="false">'Research Grant'!M127</f>
        <v>0</v>
      </c>
      <c r="P63" s="310" t="n">
        <f aca="false">'Research Grant'!Q127</f>
        <v>0</v>
      </c>
    </row>
    <row r="64" customFormat="false" ht="18" hidden="false" customHeight="false" outlineLevel="0" collapsed="false">
      <c r="A64" s="261"/>
      <c r="B64" s="245" t="n">
        <v>6</v>
      </c>
      <c r="C64" s="319" t="str">
        <f aca="false">'Research Grant'!C131</f>
        <v>IT fee 10 400 kr per employee/affiliated and year (2022)</v>
      </c>
      <c r="D64" s="319"/>
      <c r="E64" s="319"/>
      <c r="F64" s="319"/>
      <c r="G64" s="319"/>
      <c r="H64" s="319"/>
      <c r="L64" s="309" t="n">
        <f aca="false">'Research Grant'!I131</f>
        <v>0</v>
      </c>
      <c r="M64" s="309" t="n">
        <f aca="false">'Research Grant'!K131</f>
        <v>0</v>
      </c>
      <c r="N64" s="309" t="n">
        <f aca="false">'Research Grant'!M131</f>
        <v>0</v>
      </c>
      <c r="O64" s="309" t="n">
        <f aca="false">'Research Grant'!O131</f>
        <v>0</v>
      </c>
      <c r="P64" s="310" t="n">
        <f aca="false">'Research Grant'!Q131</f>
        <v>0</v>
      </c>
    </row>
    <row r="65" customFormat="false" ht="18" hidden="false" customHeight="false" outlineLevel="0" collapsed="false">
      <c r="A65" s="261"/>
      <c r="B65" s="245" t="n">
        <v>7</v>
      </c>
      <c r="C65" s="319" t="n">
        <f aca="false">'Research Grant'!C132</f>
        <v>0</v>
      </c>
      <c r="D65" s="319"/>
      <c r="E65" s="319"/>
      <c r="F65" s="319"/>
      <c r="G65" s="319"/>
      <c r="H65" s="319"/>
      <c r="L65" s="309" t="n">
        <f aca="false">'Research Grant'!I132</f>
        <v>0</v>
      </c>
      <c r="M65" s="309" t="n">
        <f aca="false">'Research Grant'!K132</f>
        <v>0</v>
      </c>
      <c r="N65" s="309" t="n">
        <f aca="false">'Research Grant'!M132</f>
        <v>0</v>
      </c>
      <c r="O65" s="309" t="n">
        <f aca="false">'Research Grant'!O132</f>
        <v>0</v>
      </c>
      <c r="P65" s="310" t="n">
        <f aca="false">'Research Grant'!Q132</f>
        <v>0</v>
      </c>
    </row>
    <row r="66" customFormat="false" ht="18" hidden="false" customHeight="false" outlineLevel="0" collapsed="false">
      <c r="A66" s="261"/>
      <c r="B66" s="245" t="n">
        <v>8</v>
      </c>
      <c r="C66" s="319" t="n">
        <f aca="false">'Research Grant'!C133</f>
        <v>0</v>
      </c>
      <c r="D66" s="319"/>
      <c r="E66" s="319"/>
      <c r="F66" s="319"/>
      <c r="G66" s="319"/>
      <c r="H66" s="319"/>
      <c r="L66" s="315" t="n">
        <f aca="false">'Research Grant'!I133</f>
        <v>0</v>
      </c>
      <c r="M66" s="309" t="n">
        <f aca="false">'Research Grant'!K133</f>
        <v>0</v>
      </c>
      <c r="N66" s="309" t="n">
        <f aca="false">'Research Grant'!M133</f>
        <v>0</v>
      </c>
      <c r="O66" s="315" t="n">
        <f aca="false">'Research Grant'!O133</f>
        <v>0</v>
      </c>
      <c r="P66" s="316" t="n">
        <f aca="false">'Research Grant'!Q133</f>
        <v>0</v>
      </c>
    </row>
    <row r="67" customFormat="false" ht="19.5" hidden="false" customHeight="false" outlineLevel="0" collapsed="false">
      <c r="B67" s="297" t="s">
        <v>233</v>
      </c>
      <c r="C67" s="260"/>
      <c r="D67" s="341"/>
      <c r="E67" s="341"/>
      <c r="F67" s="341"/>
      <c r="G67" s="341"/>
      <c r="H67" s="341"/>
      <c r="I67" s="260"/>
      <c r="J67" s="260"/>
      <c r="K67" s="260"/>
      <c r="L67" s="342" t="n">
        <f aca="false">SUM(L59:L66)</f>
        <v>0</v>
      </c>
      <c r="M67" s="343" t="n">
        <f aca="false">SUM(M59:M66)</f>
        <v>0</v>
      </c>
      <c r="N67" s="343" t="n">
        <f aca="false">SUM(N59:N66)</f>
        <v>0</v>
      </c>
      <c r="O67" s="342" t="n">
        <f aca="false">SUM(O59:O66)</f>
        <v>0</v>
      </c>
      <c r="P67" s="344" t="n">
        <f aca="false">SUM(P59:P66)</f>
        <v>0</v>
      </c>
    </row>
    <row r="68" customFormat="false" ht="18" hidden="false" customHeight="false" outlineLevel="0" collapsed="false">
      <c r="I68" s="345"/>
    </row>
    <row r="70" customFormat="false" ht="18" hidden="false" customHeight="false" outlineLevel="0" collapsed="false">
      <c r="B70" s="346"/>
      <c r="C70" s="347" t="s">
        <v>236</v>
      </c>
      <c r="D70" s="347"/>
      <c r="E70" s="346"/>
      <c r="F70" s="346"/>
      <c r="G70" s="346"/>
      <c r="H70" s="346"/>
      <c r="I70" s="346"/>
    </row>
    <row r="71" customFormat="false" ht="18.75" hidden="false" customHeight="false" outlineLevel="0" collapsed="false"/>
    <row r="72" customFormat="false" ht="18" hidden="false" customHeight="false" outlineLevel="0" collapsed="false">
      <c r="B72" s="284"/>
      <c r="C72" s="285" t="s">
        <v>237</v>
      </c>
      <c r="D72" s="285"/>
      <c r="E72" s="285"/>
      <c r="F72" s="285"/>
      <c r="G72" s="285" t="s">
        <v>238</v>
      </c>
      <c r="H72" s="285"/>
      <c r="I72" s="264"/>
    </row>
    <row r="73" customFormat="false" ht="18" hidden="false" customHeight="false" outlineLevel="0" collapsed="false">
      <c r="B73" s="267" t="n">
        <v>1</v>
      </c>
      <c r="C73" s="318" t="s">
        <v>239</v>
      </c>
      <c r="D73" s="318"/>
      <c r="E73" s="318"/>
      <c r="G73" s="348" t="n">
        <f aca="false">'Research Grant'!H86+'Research Grant'!J86+'Research Grant'!L86+'Research Grant'!N86+'Research Grant'!P86</f>
        <v>0</v>
      </c>
      <c r="H73" s="348"/>
      <c r="I73" s="261"/>
    </row>
    <row r="74" customFormat="false" ht="18" hidden="false" customHeight="false" outlineLevel="0" collapsed="false">
      <c r="B74" s="267" t="n">
        <v>2</v>
      </c>
      <c r="C74" s="319" t="s">
        <v>240</v>
      </c>
      <c r="D74" s="319"/>
      <c r="E74" s="319"/>
      <c r="G74" s="349" t="n">
        <f aca="false">'Research Grant'!H98+'Research Grant'!H114+'Research Grant'!J98+'Research Grant'!J114+'Research Grant'!L98+'Research Grant'!L114+'Research Grant'!N98+'Research Grant'!N114+'Research Grant'!P98+'Research Grant'!P114</f>
        <v>510000</v>
      </c>
      <c r="H74" s="349"/>
      <c r="I74" s="261"/>
    </row>
    <row r="75" customFormat="false" ht="18.75" hidden="false" customHeight="false" outlineLevel="0" collapsed="false">
      <c r="A75" s="261"/>
      <c r="B75" s="245" t="n">
        <v>3</v>
      </c>
      <c r="C75" s="281" t="s">
        <v>241</v>
      </c>
      <c r="D75" s="281"/>
      <c r="E75" s="281"/>
      <c r="G75" s="350" t="n">
        <f aca="false">'Research Grant'!H135+'Research Grant'!J135+'Research Grant'!L135+'Research Grant'!N135+'Research Grant'!P135</f>
        <v>0</v>
      </c>
      <c r="H75" s="350"/>
      <c r="I75" s="261"/>
    </row>
    <row r="76" customFormat="false" ht="18" hidden="false" customHeight="false" outlineLevel="0" collapsed="false">
      <c r="A76" s="261"/>
      <c r="B76" s="245" t="n">
        <v>4</v>
      </c>
      <c r="C76" s="351" t="s">
        <v>242</v>
      </c>
      <c r="D76" s="352"/>
      <c r="E76" s="352"/>
      <c r="G76" s="353" t="n">
        <f aca="false">SUM(G73:H75)</f>
        <v>510000</v>
      </c>
      <c r="H76" s="353"/>
      <c r="I76" s="261"/>
    </row>
    <row r="77" customFormat="false" ht="18.75" hidden="false" customHeight="false" outlineLevel="0" collapsed="false">
      <c r="A77" s="261"/>
      <c r="B77" s="245" t="n">
        <v>5</v>
      </c>
      <c r="C77" s="354" t="s">
        <v>232</v>
      </c>
      <c r="D77" s="354"/>
      <c r="E77" s="354"/>
      <c r="G77" s="355" t="n">
        <f aca="false">(G73+G74)*N11</f>
        <v>129540</v>
      </c>
      <c r="H77" s="355"/>
      <c r="I77" s="261"/>
    </row>
    <row r="78" customFormat="false" ht="19.5" hidden="false" customHeight="false" outlineLevel="0" collapsed="false">
      <c r="B78" s="279" t="n">
        <v>6</v>
      </c>
      <c r="C78" s="356" t="s">
        <v>243</v>
      </c>
      <c r="D78" s="281"/>
      <c r="E78" s="281"/>
      <c r="F78" s="260"/>
      <c r="G78" s="357" t="n">
        <f aca="false">G76+G77</f>
        <v>639540</v>
      </c>
      <c r="H78" s="357"/>
      <c r="I78" s="358"/>
    </row>
  </sheetData>
  <mergeCells count="8">
    <mergeCell ref="C7:E7"/>
    <mergeCell ref="C22:F22"/>
    <mergeCell ref="G73:H73"/>
    <mergeCell ref="G74:H74"/>
    <mergeCell ref="G75:H75"/>
    <mergeCell ref="G76:H76"/>
    <mergeCell ref="G77:H77"/>
    <mergeCell ref="G78:H78"/>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P81"/>
  <sheetViews>
    <sheetView showFormulas="false" showGridLines="false" showRowColHeaders="true" showZeros="true" rightToLeft="false" tabSelected="false" showOutlineSymbols="true" defaultGridColor="true" view="normal" topLeftCell="A24" colorId="64" zoomScale="85" zoomScaleNormal="85" zoomScalePageLayoutView="100" workbookViewId="0">
      <selection pane="topLeft" activeCell="F48" activeCellId="0" sqref="F48"/>
    </sheetView>
  </sheetViews>
  <sheetFormatPr defaultColWidth="8.25" defaultRowHeight="12.75" zeroHeight="false" outlineLevelRow="1" outlineLevelCol="0"/>
  <cols>
    <col collapsed="false" customWidth="true" hidden="false" outlineLevel="0" max="1" min="1" style="359" width="2.25"/>
    <col collapsed="false" customWidth="true" hidden="false" outlineLevel="0" max="2" min="2" style="359" width="2.38"/>
    <col collapsed="false" customWidth="true" hidden="false" outlineLevel="0" max="3" min="3" style="359" width="24.62"/>
    <col collapsed="false" customWidth="true" hidden="false" outlineLevel="0" max="4" min="4" style="359" width="8.74"/>
    <col collapsed="false" customWidth="true" hidden="false" outlineLevel="0" max="9" min="5" style="359" width="20.25"/>
    <col collapsed="false" customWidth="true" hidden="false" outlineLevel="0" max="10" min="10" style="359" width="2.13"/>
    <col collapsed="false" customWidth="false" hidden="false" outlineLevel="0" max="11" min="11" style="359" width="8.25"/>
    <col collapsed="false" customWidth="true" hidden="false" outlineLevel="0" max="12" min="12" style="359" width="2.25"/>
    <col collapsed="false" customWidth="false" hidden="false" outlineLevel="0" max="13" min="13" style="359" width="8.25"/>
    <col collapsed="false" customWidth="true" hidden="false" outlineLevel="0" max="14" min="14" style="359" width="9.26"/>
    <col collapsed="false" customWidth="false" hidden="false" outlineLevel="0" max="1024" min="15" style="359" width="8.25"/>
  </cols>
  <sheetData>
    <row r="1" customFormat="false" ht="26.25" hidden="false" customHeight="false" outlineLevel="0" collapsed="false">
      <c r="B1" s="8" t="s">
        <v>244</v>
      </c>
      <c r="C1" s="8"/>
      <c r="D1" s="8"/>
      <c r="E1" s="8"/>
      <c r="F1" s="8"/>
      <c r="G1" s="8"/>
      <c r="H1" s="8"/>
      <c r="I1" s="8"/>
      <c r="J1" s="8"/>
      <c r="K1" s="8"/>
    </row>
    <row r="2" customFormat="false" ht="13.15" hidden="false" customHeight="true" outlineLevel="0" collapsed="false">
      <c r="C2" s="360"/>
      <c r="D2" s="360"/>
      <c r="E2" s="361"/>
      <c r="F2" s="361"/>
      <c r="G2" s="361"/>
      <c r="H2" s="362"/>
      <c r="I2" s="362"/>
      <c r="J2" s="361"/>
    </row>
    <row r="3" customFormat="false" ht="13.15" hidden="false" customHeight="true" outlineLevel="0" collapsed="false">
      <c r="B3" s="363" t="s">
        <v>245</v>
      </c>
      <c r="C3" s="363"/>
      <c r="D3" s="363"/>
      <c r="E3" s="363"/>
      <c r="F3" s="363"/>
      <c r="G3" s="363"/>
      <c r="H3" s="363"/>
      <c r="I3" s="363"/>
      <c r="J3" s="363"/>
      <c r="K3" s="363"/>
    </row>
    <row r="4" customFormat="false" ht="13.15" hidden="false" customHeight="true" outlineLevel="0" collapsed="false">
      <c r="B4" s="363"/>
      <c r="C4" s="363"/>
      <c r="D4" s="363"/>
      <c r="E4" s="363"/>
      <c r="F4" s="363"/>
      <c r="G4" s="363"/>
      <c r="H4" s="363"/>
      <c r="I4" s="363"/>
      <c r="J4" s="363"/>
      <c r="K4" s="363"/>
    </row>
    <row r="5" customFormat="false" ht="13.15" hidden="false" customHeight="true" outlineLevel="0" collapsed="false">
      <c r="B5" s="363"/>
      <c r="C5" s="363"/>
      <c r="D5" s="363"/>
      <c r="E5" s="363"/>
      <c r="F5" s="363"/>
      <c r="G5" s="363"/>
      <c r="H5" s="363"/>
      <c r="I5" s="363"/>
      <c r="J5" s="363"/>
      <c r="K5" s="363"/>
    </row>
    <row r="6" customFormat="false" ht="13.15" hidden="false" customHeight="true" outlineLevel="0" collapsed="false">
      <c r="B6" s="363"/>
      <c r="C6" s="363"/>
      <c r="D6" s="363"/>
      <c r="E6" s="363"/>
      <c r="F6" s="363"/>
      <c r="G6" s="363"/>
      <c r="H6" s="363"/>
      <c r="I6" s="363"/>
      <c r="J6" s="363"/>
      <c r="K6" s="363"/>
    </row>
    <row r="7" customFormat="false" ht="13.15" hidden="false" customHeight="true" outlineLevel="0" collapsed="false">
      <c r="B7" s="363"/>
      <c r="C7" s="363"/>
      <c r="D7" s="363"/>
      <c r="E7" s="363"/>
      <c r="F7" s="363"/>
      <c r="G7" s="363"/>
      <c r="H7" s="363"/>
      <c r="I7" s="363"/>
      <c r="J7" s="363"/>
      <c r="K7" s="363"/>
    </row>
    <row r="8" customFormat="false" ht="13.15" hidden="false" customHeight="true" outlineLevel="0" collapsed="false">
      <c r="B8" s="363"/>
      <c r="C8" s="363"/>
      <c r="D8" s="363"/>
      <c r="E8" s="363"/>
      <c r="F8" s="363"/>
      <c r="G8" s="363"/>
      <c r="H8" s="363"/>
      <c r="I8" s="363"/>
      <c r="J8" s="363"/>
      <c r="K8" s="363"/>
    </row>
    <row r="9" customFormat="false" ht="15" hidden="false" customHeight="false" outlineLevel="0" collapsed="false">
      <c r="C9" s="11"/>
      <c r="D9" s="11"/>
      <c r="E9" s="11"/>
      <c r="F9" s="11"/>
      <c r="G9" s="11"/>
      <c r="H9" s="11"/>
      <c r="I9" s="11"/>
      <c r="J9" s="11"/>
      <c r="K9" s="11"/>
    </row>
    <row r="10" customFormat="false" ht="15" hidden="false" customHeight="false" outlineLevel="0" collapsed="false">
      <c r="C10" s="11"/>
      <c r="D10" s="11"/>
      <c r="E10" s="11"/>
      <c r="F10" s="11"/>
      <c r="G10" s="11"/>
      <c r="H10" s="11"/>
      <c r="I10" s="11"/>
      <c r="J10" s="11"/>
      <c r="K10" s="11"/>
    </row>
    <row r="11" customFormat="false" ht="13.5" hidden="false" customHeight="false" outlineLevel="0" collapsed="false">
      <c r="B11" s="364"/>
      <c r="C11" s="365"/>
      <c r="D11" s="365"/>
      <c r="E11" s="365"/>
      <c r="F11" s="366"/>
      <c r="G11" s="365"/>
      <c r="H11" s="365"/>
      <c r="I11" s="367"/>
      <c r="J11" s="365"/>
      <c r="K11" s="368"/>
    </row>
    <row r="12" customFormat="false" ht="14.25" hidden="false" customHeight="false" outlineLevel="0" collapsed="false">
      <c r="B12" s="369"/>
      <c r="C12" s="121" t="s">
        <v>15</v>
      </c>
      <c r="D12" s="121"/>
      <c r="E12" s="121"/>
      <c r="F12" s="121"/>
      <c r="G12" s="121"/>
      <c r="H12" s="121"/>
      <c r="I12" s="121"/>
      <c r="J12" s="121"/>
      <c r="K12" s="370"/>
    </row>
    <row r="13" customFormat="false" ht="12.75" hidden="false" customHeight="false" outlineLevel="0" collapsed="false">
      <c r="B13" s="369"/>
      <c r="F13" s="371"/>
      <c r="I13" s="362"/>
      <c r="K13" s="370"/>
    </row>
    <row r="14" customFormat="false" ht="12.75" hidden="false" customHeight="false" outlineLevel="0" collapsed="false">
      <c r="B14" s="369"/>
      <c r="C14" s="372" t="s">
        <v>246</v>
      </c>
      <c r="D14" s="373" t="str">
        <f aca="false">'Research Grant'!$D$28</f>
        <v>K9 - PHS</v>
      </c>
      <c r="F14" s="371"/>
      <c r="I14" s="362"/>
      <c r="K14" s="370"/>
    </row>
    <row r="15" customFormat="false" ht="12.75" hidden="false" customHeight="false" outlineLevel="0" collapsed="false">
      <c r="B15" s="369"/>
      <c r="C15" s="372" t="s">
        <v>22</v>
      </c>
      <c r="D15" s="374" t="str">
        <f aca="false">IF('Research Grant'!$D32="","",'Research Grant'!$D32)</f>
        <v>Namn</v>
      </c>
      <c r="E15" s="374"/>
      <c r="K15" s="370"/>
    </row>
    <row r="16" customFormat="false" ht="12.75" hidden="false" customHeight="false" outlineLevel="0" collapsed="false">
      <c r="B16" s="369"/>
      <c r="C16" s="372" t="s">
        <v>23</v>
      </c>
      <c r="D16" s="374" t="s">
        <v>247</v>
      </c>
      <c r="E16" s="374"/>
      <c r="G16" s="371"/>
      <c r="I16" s="362"/>
      <c r="K16" s="370"/>
    </row>
    <row r="17" customFormat="false" ht="12.75" hidden="false" customHeight="false" outlineLevel="0" collapsed="false">
      <c r="B17" s="369"/>
      <c r="C17" s="372" t="s">
        <v>24</v>
      </c>
      <c r="D17" s="374" t="str">
        <f aca="false">IF('Research Grant'!$D34="","",'Research Grant'!$D34)</f>
        <v/>
      </c>
      <c r="E17" s="374"/>
      <c r="G17" s="371"/>
      <c r="I17" s="362"/>
      <c r="K17" s="370"/>
    </row>
    <row r="18" customFormat="false" ht="15" hidden="false" customHeight="false" outlineLevel="0" collapsed="false">
      <c r="B18" s="369"/>
      <c r="C18" s="375"/>
      <c r="K18" s="370"/>
    </row>
    <row r="19" customFormat="false" ht="14.25" hidden="false" customHeight="false" outlineLevel="0" collapsed="false">
      <c r="B19" s="369"/>
      <c r="C19" s="376" t="s">
        <v>248</v>
      </c>
      <c r="D19" s="376"/>
      <c r="E19" s="377" t="n">
        <f aca="false">IF('Research Grant'!$D$28="","",VLOOKUP(LEFT('Research Grant'!$D$28,2),'INDI FO 2021'!K1:M27,3,0))</f>
        <v>88500</v>
      </c>
      <c r="K19" s="370"/>
    </row>
    <row r="20" customFormat="false" ht="15" hidden="false" customHeight="false" outlineLevel="0" collapsed="false">
      <c r="B20" s="369"/>
      <c r="C20" s="361"/>
      <c r="D20" s="361"/>
      <c r="E20" s="375"/>
      <c r="K20" s="370"/>
    </row>
    <row r="21" customFormat="false" ht="13.5" hidden="false" customHeight="false" outlineLevel="0" collapsed="false">
      <c r="B21" s="369"/>
      <c r="C21" s="361"/>
      <c r="D21" s="361"/>
      <c r="K21" s="370"/>
    </row>
    <row r="22" s="378" customFormat="true" ht="23.25" hidden="false" customHeight="false" outlineLevel="0" collapsed="false">
      <c r="B22" s="379"/>
      <c r="C22" s="21" t="s">
        <v>249</v>
      </c>
      <c r="D22" s="22"/>
      <c r="E22" s="22"/>
      <c r="F22" s="22"/>
      <c r="G22" s="22"/>
      <c r="H22" s="22"/>
      <c r="I22" s="22"/>
      <c r="J22" s="23"/>
      <c r="K22" s="380"/>
    </row>
    <row r="23" s="378" customFormat="true" ht="23.25" hidden="false" customHeight="false" outlineLevel="1" collapsed="false">
      <c r="B23" s="379"/>
      <c r="C23" s="381"/>
      <c r="E23" s="382"/>
      <c r="F23" s="382"/>
      <c r="G23" s="382"/>
      <c r="J23" s="383"/>
      <c r="K23" s="380"/>
    </row>
    <row r="24" customFormat="false" ht="14.25" hidden="false" customHeight="false" outlineLevel="1" collapsed="false">
      <c r="B24" s="369"/>
      <c r="C24" s="384"/>
      <c r="D24" s="361"/>
      <c r="E24" s="382"/>
      <c r="F24" s="382"/>
      <c r="J24" s="385"/>
      <c r="K24" s="370"/>
    </row>
    <row r="25" customFormat="false" ht="25.5" hidden="false" customHeight="false" outlineLevel="1" collapsed="false">
      <c r="B25" s="369"/>
      <c r="C25" s="386"/>
      <c r="E25" s="387" t="s">
        <v>250</v>
      </c>
      <c r="F25" s="387" t="s">
        <v>251</v>
      </c>
      <c r="J25" s="385"/>
      <c r="K25" s="370"/>
    </row>
    <row r="26" customFormat="false" ht="14.25" hidden="false" customHeight="false" outlineLevel="1" collapsed="false">
      <c r="B26" s="369"/>
      <c r="C26" s="388" t="s">
        <v>252</v>
      </c>
      <c r="D26" s="388"/>
      <c r="E26" s="389" t="n">
        <v>81052</v>
      </c>
      <c r="F26" s="389" t="n">
        <f aca="false">SUMIF('INDI FO 2021'!$R$37:$R$46,'Spec-indir-kostn-inst &amp; -proj'!$C26,'INDI FO 2021'!$T$37:$T$46)/-1000</f>
        <v>3292.33363</v>
      </c>
      <c r="G26" s="390"/>
      <c r="H26" s="391"/>
      <c r="J26" s="385"/>
      <c r="K26" s="370"/>
    </row>
    <row r="27" customFormat="false" ht="14.25" hidden="false" customHeight="false" outlineLevel="1" collapsed="false">
      <c r="B27" s="369"/>
      <c r="C27" s="388" t="s">
        <v>253</v>
      </c>
      <c r="D27" s="388"/>
      <c r="E27" s="389" t="n">
        <v>123952</v>
      </c>
      <c r="F27" s="389" t="n">
        <f aca="false">SUMIF('INDI FO 2021'!$R$37:$R$46,'Spec-indir-kostn-inst &amp; -proj'!$C27,'INDI FO 2021'!$T$37:$T$46)/-1000</f>
        <v>773.50755</v>
      </c>
      <c r="G27" s="390"/>
      <c r="H27" s="391"/>
      <c r="J27" s="385"/>
      <c r="K27" s="370"/>
    </row>
    <row r="28" customFormat="false" ht="14.25" hidden="false" customHeight="false" outlineLevel="1" collapsed="false">
      <c r="B28" s="369"/>
      <c r="C28" s="388" t="s">
        <v>254</v>
      </c>
      <c r="D28" s="388"/>
      <c r="E28" s="389" t="n">
        <v>82959</v>
      </c>
      <c r="F28" s="389" t="n">
        <f aca="false">SUMIF('INDI FO 2021'!$R$37:$R$46,'Spec-indir-kostn-inst &amp; -proj'!$C28,'INDI FO 2021'!$T$37:$T$46)/-1000</f>
        <v>4531.84825</v>
      </c>
      <c r="G28" s="390"/>
      <c r="H28" s="391"/>
      <c r="J28" s="385"/>
      <c r="K28" s="370"/>
    </row>
    <row r="29" customFormat="false" ht="14.25" hidden="false" customHeight="false" outlineLevel="1" collapsed="false">
      <c r="B29" s="369"/>
      <c r="C29" s="388" t="s">
        <v>255</v>
      </c>
      <c r="D29" s="388"/>
      <c r="E29" s="389" t="n">
        <v>125492</v>
      </c>
      <c r="F29" s="389" t="n">
        <f aca="false">SUMIF('INDI FO 2021'!$R$37:$R$46,'Spec-indir-kostn-inst &amp; -proj'!$C29,'INDI FO 2021'!$T$37:$T$46)/-1000</f>
        <v>605.97424</v>
      </c>
      <c r="G29" s="390"/>
      <c r="H29" s="391"/>
      <c r="J29" s="385"/>
      <c r="K29" s="370"/>
    </row>
    <row r="30" customFormat="false" ht="14.25" hidden="false" customHeight="false" outlineLevel="1" collapsed="false">
      <c r="B30" s="369"/>
      <c r="C30" s="388" t="s">
        <v>256</v>
      </c>
      <c r="D30" s="388"/>
      <c r="E30" s="389" t="n">
        <v>112708</v>
      </c>
      <c r="F30" s="389" t="n">
        <f aca="false">SUMIF('INDI FO 2021'!$R$37:$R$46,'Spec-indir-kostn-inst &amp; -proj'!$C30,'INDI FO 2021'!$T$37:$T$46)/-1000</f>
        <v>0</v>
      </c>
      <c r="G30" s="390"/>
      <c r="H30" s="391"/>
      <c r="J30" s="385"/>
      <c r="K30" s="370"/>
    </row>
    <row r="31" customFormat="false" ht="14.25" hidden="false" customHeight="false" outlineLevel="1" collapsed="false">
      <c r="B31" s="369"/>
      <c r="C31" s="388" t="s">
        <v>257</v>
      </c>
      <c r="D31" s="388"/>
      <c r="E31" s="389" t="n">
        <v>0</v>
      </c>
      <c r="F31" s="389" t="n">
        <f aca="false">SUMIF('INDI FO 2021'!$R$37:$R$46,'Spec-indir-kostn-inst &amp; -proj'!$C31,'INDI FO 2021'!$T$37:$T$46)/-1000</f>
        <v>0</v>
      </c>
      <c r="G31" s="390"/>
      <c r="H31" s="391"/>
      <c r="J31" s="385"/>
      <c r="K31" s="370"/>
    </row>
    <row r="32" customFormat="false" ht="14.25" hidden="false" customHeight="false" outlineLevel="1" collapsed="false">
      <c r="B32" s="369"/>
      <c r="C32" s="392" t="s">
        <v>258</v>
      </c>
      <c r="D32" s="392"/>
      <c r="E32" s="377" t="n">
        <f aca="false">SUM(E26:E31)</f>
        <v>526163</v>
      </c>
      <c r="F32" s="377" t="n">
        <f aca="false">SUM(F26:F31)</f>
        <v>9203.66367</v>
      </c>
      <c r="J32" s="385"/>
      <c r="K32" s="370"/>
    </row>
    <row r="33" customFormat="false" ht="12.75" hidden="false" customHeight="false" outlineLevel="1" collapsed="false">
      <c r="B33" s="369"/>
      <c r="C33" s="384"/>
      <c r="D33" s="361"/>
      <c r="J33" s="385"/>
      <c r="K33" s="370"/>
    </row>
    <row r="34" customFormat="false" ht="12.75" hidden="false" customHeight="false" outlineLevel="1" collapsed="false">
      <c r="B34" s="369"/>
      <c r="C34" s="386"/>
      <c r="I34" s="393"/>
      <c r="J34" s="385"/>
      <c r="K34" s="370"/>
    </row>
    <row r="35" customFormat="false" ht="25.5" hidden="false" customHeight="false" outlineLevel="1" collapsed="false">
      <c r="B35" s="369"/>
      <c r="C35" s="386"/>
      <c r="E35" s="387" t="s">
        <v>259</v>
      </c>
      <c r="F35" s="387" t="s">
        <v>260</v>
      </c>
      <c r="G35" s="387" t="s">
        <v>261</v>
      </c>
      <c r="H35" s="394" t="s">
        <v>262</v>
      </c>
      <c r="J35" s="385"/>
      <c r="K35" s="370"/>
    </row>
    <row r="36" customFormat="false" ht="13.5" hidden="false" customHeight="false" outlineLevel="1" collapsed="false">
      <c r="B36" s="369"/>
      <c r="C36" s="386"/>
      <c r="E36" s="395" t="n">
        <f aca="false">IF('Research Grant'!$D$28="","",E43/E32)</f>
        <v>0.0252298242179705</v>
      </c>
      <c r="F36" s="395" t="n">
        <f aca="false">IF('Research Grant'!$D$28="","",100%)</f>
        <v>1</v>
      </c>
      <c r="G36" s="395"/>
      <c r="H36" s="396"/>
      <c r="J36" s="385"/>
      <c r="K36" s="370"/>
    </row>
    <row r="37" customFormat="false" ht="14.25" hidden="false" customHeight="false" outlineLevel="1" collapsed="false">
      <c r="B37" s="369"/>
      <c r="C37" s="388" t="s">
        <v>252</v>
      </c>
      <c r="D37" s="388"/>
      <c r="E37" s="389" t="n">
        <f aca="false">IF(E$36="","",E$36*E26)</f>
        <v>2044.92771251494</v>
      </c>
      <c r="F37" s="389" t="n">
        <f aca="false">IF('Research Grant'!$D$28="","",F26*F$36)</f>
        <v>3292.33363</v>
      </c>
      <c r="G37" s="389" t="n">
        <f aca="false">IF('Research Grant'!$D$28="","",E37+F37)</f>
        <v>5337.26134251494</v>
      </c>
      <c r="H37" s="397" t="n">
        <f aca="false">IF('Research Grant'!$D$28="","",(IF(G37=0,0,G37/E$19)))</f>
        <v>0.0603080377685304</v>
      </c>
      <c r="J37" s="385"/>
      <c r="K37" s="370"/>
    </row>
    <row r="38" customFormat="false" ht="14.25" hidden="false" customHeight="false" outlineLevel="1" collapsed="false">
      <c r="B38" s="369"/>
      <c r="C38" s="388" t="s">
        <v>253</v>
      </c>
      <c r="D38" s="388"/>
      <c r="E38" s="389" t="n">
        <f aca="false">IF(E$36="","",E$36*E27)</f>
        <v>3127.28717146588</v>
      </c>
      <c r="F38" s="389" t="n">
        <f aca="false">IF('Research Grant'!$D$28="","",F27*F$36)</f>
        <v>773.50755</v>
      </c>
      <c r="G38" s="389" t="n">
        <f aca="false">IF('Research Grant'!$D$28="","",E38+F38)</f>
        <v>3900.79472146588</v>
      </c>
      <c r="H38" s="397" t="n">
        <f aca="false">IF('Research Grant'!$D$28="","",(IF(G38=0,0,G38/E$19)))</f>
        <v>0.0440767765137387</v>
      </c>
      <c r="J38" s="385"/>
      <c r="K38" s="370"/>
    </row>
    <row r="39" customFormat="false" ht="14.25" hidden="false" customHeight="false" outlineLevel="1" collapsed="false">
      <c r="B39" s="369"/>
      <c r="C39" s="388" t="s">
        <v>254</v>
      </c>
      <c r="D39" s="388"/>
      <c r="E39" s="389" t="n">
        <f aca="false">IF(E$36="","",E$36*E28)</f>
        <v>2093.04098729861</v>
      </c>
      <c r="F39" s="389" t="n">
        <f aca="false">IF('Research Grant'!$D$28="","",F28*F$36)</f>
        <v>4531.84825</v>
      </c>
      <c r="G39" s="389" t="n">
        <f aca="false">IF('Research Grant'!$D$28="","",E39+F39)</f>
        <v>6624.88923729861</v>
      </c>
      <c r="H39" s="397" t="n">
        <f aca="false">IF('Research Grant'!$D$28="","",(IF(G39=0,0,G39/E$19)))</f>
        <v>0.074857505506199</v>
      </c>
      <c r="J39" s="385"/>
      <c r="K39" s="370"/>
      <c r="N39" s="398"/>
      <c r="O39" s="398"/>
      <c r="P39" s="398"/>
    </row>
    <row r="40" customFormat="false" ht="14.25" hidden="false" customHeight="false" outlineLevel="1" collapsed="false">
      <c r="B40" s="369"/>
      <c r="C40" s="388" t="s">
        <v>255</v>
      </c>
      <c r="D40" s="388"/>
      <c r="E40" s="389" t="n">
        <f aca="false">IF(E$36="","",E$36*E29)</f>
        <v>3166.14110076155</v>
      </c>
      <c r="F40" s="389" t="n">
        <f aca="false">IF('Research Grant'!$D$28="","",F29*F$36)</f>
        <v>605.97424</v>
      </c>
      <c r="G40" s="389" t="n">
        <f aca="false">IF('Research Grant'!$D$28="","",E40+F40)</f>
        <v>3772.11534076155</v>
      </c>
      <c r="H40" s="397" t="n">
        <f aca="false">IF('Research Grant'!$D$28="","",(IF(G40=0,0,G40/E$19)))</f>
        <v>0.0426227722119949</v>
      </c>
      <c r="J40" s="385"/>
      <c r="K40" s="370"/>
    </row>
    <row r="41" customFormat="false" ht="14.25" hidden="false" customHeight="false" outlineLevel="1" collapsed="false">
      <c r="B41" s="369"/>
      <c r="C41" s="388" t="s">
        <v>256</v>
      </c>
      <c r="D41" s="388"/>
      <c r="E41" s="389" t="n">
        <f aca="false">IF(E$36="","",E$36*E30)</f>
        <v>2843.60302795902</v>
      </c>
      <c r="F41" s="389" t="n">
        <f aca="false">IF('Research Grant'!$D$28="","",F30*F$36)</f>
        <v>0</v>
      </c>
      <c r="G41" s="389" t="n">
        <f aca="false">IF('Research Grant'!$D$28="","",E41+F41)</f>
        <v>2843.60302795902</v>
      </c>
      <c r="H41" s="397" t="n">
        <f aca="false">IF('Research Grant'!$D$28="","",(IF(G41=0,0,G41/E$19)))</f>
        <v>0.0321311076605539</v>
      </c>
      <c r="J41" s="385"/>
      <c r="K41" s="370"/>
    </row>
    <row r="42" customFormat="false" ht="14.25" hidden="false" customHeight="false" outlineLevel="1" collapsed="false">
      <c r="B42" s="369"/>
      <c r="C42" s="388" t="s">
        <v>257</v>
      </c>
      <c r="D42" s="388"/>
      <c r="E42" s="389" t="n">
        <f aca="false">IF(E$36="","",E$36*E31)</f>
        <v>0</v>
      </c>
      <c r="F42" s="389" t="n">
        <f aca="false">IF('Research Grant'!$D$28="","",F31*F$36)</f>
        <v>0</v>
      </c>
      <c r="G42" s="389" t="n">
        <f aca="false">IF('Research Grant'!$D$28="","",E42+F42)</f>
        <v>0</v>
      </c>
      <c r="H42" s="397" t="n">
        <f aca="false">IF('Research Grant'!$D$28="","",(IF(G42=0,0,G42/E$19)))</f>
        <v>0</v>
      </c>
      <c r="J42" s="385"/>
      <c r="K42" s="370"/>
    </row>
    <row r="43" customFormat="false" ht="14.25" hidden="false" customHeight="false" outlineLevel="1" collapsed="false">
      <c r="B43" s="369"/>
      <c r="C43" s="376" t="s">
        <v>258</v>
      </c>
      <c r="D43" s="376"/>
      <c r="E43" s="377" t="n">
        <f aca="false">IF('Research Grant'!$D$28="","",VLOOKUP(LEFT('Research Grant'!$D$28,2),'INDI FO 2021'!K1:P27,4,0))</f>
        <v>13275</v>
      </c>
      <c r="F43" s="377" t="n">
        <f aca="false">IF('Research Grant'!$D$28="","",VLOOKUP(LEFT('Research Grant'!$D$28,2),'INDI FO 2021'!K1:R27,8,0))</f>
        <v>9204</v>
      </c>
      <c r="G43" s="377" t="n">
        <f aca="false">SUM(G37:G42)</f>
        <v>22478.66367</v>
      </c>
      <c r="H43" s="397" t="n">
        <v>0</v>
      </c>
      <c r="J43" s="385"/>
      <c r="K43" s="370"/>
    </row>
    <row r="44" customFormat="false" ht="12.75" hidden="false" customHeight="false" outlineLevel="1" collapsed="false">
      <c r="B44" s="369"/>
      <c r="C44" s="384"/>
      <c r="D44" s="361"/>
      <c r="I44" s="393"/>
      <c r="J44" s="385"/>
      <c r="K44" s="370"/>
    </row>
    <row r="45" customFormat="false" ht="13.5" hidden="false" customHeight="false" outlineLevel="1" collapsed="false">
      <c r="B45" s="369"/>
      <c r="C45" s="399" t="s">
        <v>263</v>
      </c>
      <c r="D45" s="399"/>
      <c r="E45" s="395" t="n">
        <f aca="false">IF('Research Grant'!$D$28="","",E43/$E$19)</f>
        <v>0.15</v>
      </c>
      <c r="F45" s="395" t="n">
        <f aca="false">IF('Research Grant'!$D$28="","",F43/$E$19)</f>
        <v>0.104</v>
      </c>
      <c r="G45" s="395" t="n">
        <f aca="false">ROUND(SUM(E45:F45),4)</f>
        <v>0.254</v>
      </c>
      <c r="H45" s="400" t="str">
        <f aca="false">IF(AND(ROUND(SUM(H37:H43),4)=G45,G45=(ROUND(VLOOKUP(LEFT('Research Grant'!D28,2),'INDI FO 2021'!A2:G27,7,0),4))),"VARIABEL CHECK - OK","CONTACT EA")</f>
        <v>VARIABEL CHECK - OK</v>
      </c>
      <c r="J45" s="401"/>
      <c r="K45" s="402"/>
    </row>
    <row r="46" customFormat="false" ht="24" hidden="false" customHeight="false" outlineLevel="1" collapsed="false">
      <c r="B46" s="369"/>
      <c r="C46" s="403" t="s">
        <v>264</v>
      </c>
      <c r="D46" s="404"/>
      <c r="E46" s="405"/>
      <c r="F46" s="406"/>
      <c r="G46" s="405"/>
      <c r="H46" s="405"/>
      <c r="I46" s="393"/>
      <c r="J46" s="385"/>
      <c r="K46" s="370"/>
    </row>
    <row r="47" customFormat="false" ht="13.5" hidden="false" customHeight="false" outlineLevel="1" collapsed="false">
      <c r="B47" s="369"/>
      <c r="C47" s="407"/>
      <c r="D47" s="408"/>
      <c r="E47" s="409"/>
      <c r="F47" s="410"/>
      <c r="G47" s="410"/>
      <c r="H47" s="410"/>
      <c r="I47" s="411"/>
      <c r="J47" s="412"/>
      <c r="K47" s="370"/>
    </row>
    <row r="48" customFormat="false" ht="13.5" hidden="false" customHeight="false" outlineLevel="0" collapsed="false">
      <c r="B48" s="369"/>
      <c r="F48" s="413"/>
      <c r="G48" s="393"/>
      <c r="K48" s="370"/>
    </row>
    <row r="49" s="378" customFormat="true" ht="23.25" hidden="false" customHeight="false" outlineLevel="0" collapsed="false">
      <c r="B49" s="379"/>
      <c r="C49" s="21" t="s">
        <v>265</v>
      </c>
      <c r="D49" s="22"/>
      <c r="E49" s="22"/>
      <c r="F49" s="22"/>
      <c r="G49" s="22"/>
      <c r="H49" s="22"/>
      <c r="I49" s="22"/>
      <c r="J49" s="23"/>
      <c r="K49" s="380"/>
    </row>
    <row r="50" customFormat="false" ht="12.75" hidden="false" customHeight="false" outlineLevel="1" collapsed="false">
      <c r="B50" s="369"/>
      <c r="C50" s="414"/>
      <c r="D50" s="132"/>
      <c r="E50" s="415"/>
      <c r="F50" s="405"/>
      <c r="G50" s="405"/>
      <c r="H50" s="405"/>
      <c r="I50" s="393"/>
      <c r="J50" s="385"/>
      <c r="K50" s="370"/>
    </row>
    <row r="51" customFormat="false" ht="12.75" hidden="false" customHeight="false" outlineLevel="1" collapsed="false">
      <c r="B51" s="369"/>
      <c r="C51" s="414"/>
      <c r="D51" s="132"/>
      <c r="E51" s="415"/>
      <c r="F51" s="405"/>
      <c r="G51" s="405"/>
      <c r="H51" s="405"/>
      <c r="I51" s="393"/>
      <c r="J51" s="385"/>
      <c r="K51" s="370"/>
    </row>
    <row r="52" customFormat="false" ht="12.75" hidden="false" customHeight="false" outlineLevel="1" collapsed="false">
      <c r="B52" s="369"/>
      <c r="C52" s="386"/>
      <c r="E52" s="416" t="n">
        <f aca="false">'Research Grant'!H40</f>
        <v>2023</v>
      </c>
      <c r="F52" s="416" t="n">
        <f aca="false">IFERROR(E52+1,"")</f>
        <v>2024</v>
      </c>
      <c r="G52" s="416" t="n">
        <f aca="false">IFERROR(F52+1,"")</f>
        <v>2025</v>
      </c>
      <c r="H52" s="416" t="n">
        <f aca="false">IFERROR(G52+1,"")</f>
        <v>2026</v>
      </c>
      <c r="I52" s="416" t="n">
        <f aca="false">IFERROR(H52+1,"")</f>
        <v>2027</v>
      </c>
      <c r="J52" s="385"/>
      <c r="K52" s="370"/>
    </row>
    <row r="53" customFormat="false" ht="15" hidden="false" customHeight="false" outlineLevel="1" collapsed="false">
      <c r="B53" s="369"/>
      <c r="C53" s="41" t="s">
        <v>266</v>
      </c>
      <c r="J53" s="385"/>
      <c r="K53" s="370"/>
    </row>
    <row r="54" customFormat="false" ht="12.75" hidden="false" customHeight="false" outlineLevel="1" collapsed="false">
      <c r="B54" s="369"/>
      <c r="C54" s="417" t="s">
        <v>252</v>
      </c>
      <c r="D54" s="418" t="n">
        <f aca="false">IF('Research Grant'!$D$28="",0,(E37/$E$19)/$G$45)</f>
        <v>0.0909705819882977</v>
      </c>
      <c r="E54" s="419" t="n">
        <f aca="false">IF('Research Grant'!$D$28="",0,$D54*'Research Grant'!H$145)</f>
        <v>8249.03043353486</v>
      </c>
      <c r="F54" s="419" t="n">
        <f aca="false">IF('Research Grant'!$D$28="",0,$D54*'Research Grant'!J$145)</f>
        <v>3535.29875722923</v>
      </c>
      <c r="G54" s="419" t="n">
        <f aca="false">IF('Research Grant'!$D$28="",0,$D54*'Research Grant'!L$145)</f>
        <v>0</v>
      </c>
      <c r="H54" s="419" t="n">
        <f aca="false">IF('Research Grant'!$D$28="",0,$D54*'Research Grant'!N$145)</f>
        <v>0</v>
      </c>
      <c r="I54" s="419" t="n">
        <f aca="false">IF('Research Grant'!$D$28="",0,$D54*'Research Grant'!P$145)</f>
        <v>0</v>
      </c>
      <c r="J54" s="385"/>
      <c r="K54" s="370"/>
    </row>
    <row r="55" customFormat="false" ht="12.75" hidden="false" customHeight="false" outlineLevel="1" collapsed="false">
      <c r="B55" s="369"/>
      <c r="C55" s="417" t="s">
        <v>253</v>
      </c>
      <c r="D55" s="418" t="n">
        <f aca="false">IF('Research Grant'!$D$28="",0,(E38/$E$19)/$G$45)</f>
        <v>0.139120386648244</v>
      </c>
      <c r="E55" s="419" t="n">
        <f aca="false">IF('Research Grant'!$D$28="",0,$D55*'Research Grant'!H$145)</f>
        <v>12615.1584204895</v>
      </c>
      <c r="F55" s="419" t="n">
        <f aca="false">IF('Research Grant'!$D$28="",0,$D55*'Research Grant'!J$145)</f>
        <v>5406.49646592406</v>
      </c>
      <c r="G55" s="419" t="n">
        <f aca="false">IF('Research Grant'!$D$28="",0,$D55*'Research Grant'!L$145)</f>
        <v>0</v>
      </c>
      <c r="H55" s="419" t="n">
        <f aca="false">IF('Research Grant'!$D$28="",0,$D55*'Research Grant'!N$145)</f>
        <v>0</v>
      </c>
      <c r="I55" s="419" t="n">
        <f aca="false">IF('Research Grant'!$D$28="",0,$D55*'Research Grant'!P$145)</f>
        <v>0</v>
      </c>
      <c r="J55" s="385"/>
      <c r="K55" s="370"/>
    </row>
    <row r="56" customFormat="false" ht="12.75" hidden="false" customHeight="false" outlineLevel="1" collapsed="false">
      <c r="B56" s="369"/>
      <c r="C56" s="417" t="s">
        <v>254</v>
      </c>
      <c r="D56" s="418" t="n">
        <f aca="false">IF('Research Grant'!$D$28="",0,(E39/$E$19)/$G$45)</f>
        <v>0.0931109474308738</v>
      </c>
      <c r="E56" s="419" t="n">
        <f aca="false">IF('Research Grant'!$D$28="",0,$D56*'Research Grant'!H$145)</f>
        <v>8443.11449113677</v>
      </c>
      <c r="F56" s="419" t="n">
        <f aca="false">IF('Research Grant'!$D$28="",0,$D56*'Research Grant'!J$145)</f>
        <v>3618.47763905862</v>
      </c>
      <c r="G56" s="419" t="n">
        <f aca="false">IF('Research Grant'!$D$28="",0,$D56*'Research Grant'!L$145)</f>
        <v>0</v>
      </c>
      <c r="H56" s="419" t="n">
        <f aca="false">IF('Research Grant'!$D$28="",0,$D56*'Research Grant'!N$145)</f>
        <v>0</v>
      </c>
      <c r="I56" s="419" t="n">
        <f aca="false">IF('Research Grant'!$D$28="",0,$D56*'Research Grant'!P$145)</f>
        <v>0</v>
      </c>
      <c r="J56" s="385"/>
      <c r="K56" s="370"/>
    </row>
    <row r="57" customFormat="false" ht="12.75" hidden="false" customHeight="false" outlineLevel="1" collapsed="false">
      <c r="B57" s="369"/>
      <c r="C57" s="417" t="s">
        <v>255</v>
      </c>
      <c r="D57" s="418" t="n">
        <f aca="false">IF('Research Grant'!$D$28="",0,(E40/$E$19)/$G$45)</f>
        <v>0.140848841174498</v>
      </c>
      <c r="E57" s="419" t="n">
        <f aca="false">IF('Research Grant'!$D$28="",0,$D57*'Research Grant'!H$145)</f>
        <v>12771.8912200211</v>
      </c>
      <c r="F57" s="419" t="n">
        <f aca="false">IF('Research Grant'!$D$28="",0,$D57*'Research Grant'!J$145)</f>
        <v>5473.66766572334</v>
      </c>
      <c r="G57" s="419" t="n">
        <f aca="false">IF('Research Grant'!$D$28="",0,$D57*'Research Grant'!L$145)</f>
        <v>0</v>
      </c>
      <c r="H57" s="419" t="n">
        <f aca="false">IF('Research Grant'!$D$28="",0,$D57*'Research Grant'!N$145)</f>
        <v>0</v>
      </c>
      <c r="I57" s="419" t="n">
        <f aca="false">IF('Research Grant'!$D$28="",0,$D57*'Research Grant'!P$145)</f>
        <v>0</v>
      </c>
      <c r="J57" s="385"/>
      <c r="K57" s="370"/>
    </row>
    <row r="58" customFormat="false" ht="12.75" hidden="false" customHeight="false" outlineLevel="1" collapsed="false">
      <c r="B58" s="369"/>
      <c r="C58" s="417" t="s">
        <v>256</v>
      </c>
      <c r="D58" s="418" t="n">
        <f aca="false">IF('Research Grant'!$D$28="",0,(E41/$E$19)/$G$45)</f>
        <v>0.126500423860448</v>
      </c>
      <c r="E58" s="419" t="n">
        <f aca="false">IF('Research Grant'!$D$28="",0,$D58*'Research Grant'!H$145)</f>
        <v>11470.8054348177</v>
      </c>
      <c r="F58" s="419" t="n">
        <f aca="false">IF('Research Grant'!$D$28="",0,$D58*'Research Grant'!J$145)</f>
        <v>4916.05947206473</v>
      </c>
      <c r="G58" s="419" t="n">
        <f aca="false">IF('Research Grant'!$D$28="",0,$D58*'Research Grant'!L$145)</f>
        <v>0</v>
      </c>
      <c r="H58" s="419" t="n">
        <f aca="false">IF('Research Grant'!$D$28="",0,$D58*'Research Grant'!N$145)</f>
        <v>0</v>
      </c>
      <c r="I58" s="419" t="n">
        <f aca="false">IF('Research Grant'!$D$28="",0,$D58*'Research Grant'!P$145)</f>
        <v>0</v>
      </c>
      <c r="J58" s="385"/>
      <c r="K58" s="370"/>
    </row>
    <row r="59" customFormat="false" ht="12.75" hidden="false" customHeight="false" outlineLevel="1" collapsed="false">
      <c r="B59" s="369"/>
      <c r="C59" s="417" t="s">
        <v>257</v>
      </c>
      <c r="D59" s="418" t="n">
        <f aca="false">IF('Research Grant'!$D$28="",0,(E42/$E$19)/$G$45)</f>
        <v>0</v>
      </c>
      <c r="E59" s="419" t="n">
        <f aca="false">IF('Research Grant'!$D$28="",0,$D59*'Research Grant'!H$145)</f>
        <v>0</v>
      </c>
      <c r="F59" s="419" t="n">
        <f aca="false">IF('Research Grant'!$D$28="",0,$D59*'Research Grant'!J$145)</f>
        <v>0</v>
      </c>
      <c r="G59" s="419" t="n">
        <f aca="false">IF('Research Grant'!$D$28="",0,$D59*'Research Grant'!L$145)</f>
        <v>0</v>
      </c>
      <c r="H59" s="419" t="n">
        <f aca="false">IF('Research Grant'!$D$28="",0,$D59*'Research Grant'!N$145)</f>
        <v>0</v>
      </c>
      <c r="I59" s="419" t="n">
        <f aca="false">IF('Research Grant'!$D$28="",0,$D59*'Research Grant'!P$145)</f>
        <v>0</v>
      </c>
      <c r="J59" s="385"/>
      <c r="K59" s="370"/>
    </row>
    <row r="60" customFormat="false" ht="12.75" hidden="false" customHeight="false" outlineLevel="1" collapsed="false">
      <c r="B60" s="369"/>
      <c r="C60" s="392" t="s">
        <v>258</v>
      </c>
      <c r="D60" s="420" t="n">
        <f aca="false">IF('Research Grant'!$D$28="",0,(E43/$E$19)/$G$45)</f>
        <v>0.590551181102362</v>
      </c>
      <c r="E60" s="377" t="n">
        <f aca="false">SUM(E54:E59)</f>
        <v>53549.9999999999</v>
      </c>
      <c r="F60" s="377" t="n">
        <f aca="false">SUM(F54:F59)</f>
        <v>22950</v>
      </c>
      <c r="G60" s="377" t="n">
        <f aca="false">SUM(G54:G59)</f>
        <v>0</v>
      </c>
      <c r="H60" s="377" t="n">
        <f aca="false">SUM(H54:H59)</f>
        <v>0</v>
      </c>
      <c r="I60" s="377" t="n">
        <f aca="false">SUM(I54:I59)</f>
        <v>0</v>
      </c>
      <c r="J60" s="385"/>
      <c r="K60" s="370"/>
    </row>
    <row r="61" customFormat="false" ht="12.75" hidden="false" customHeight="false" outlineLevel="1" collapsed="false">
      <c r="B61" s="369"/>
      <c r="C61" s="386"/>
      <c r="H61" s="393"/>
      <c r="J61" s="385"/>
      <c r="K61" s="370"/>
    </row>
    <row r="62" customFormat="false" ht="15" hidden="false" customHeight="false" outlineLevel="1" collapsed="false">
      <c r="B62" s="369"/>
      <c r="C62" s="421" t="s">
        <v>267</v>
      </c>
      <c r="J62" s="385"/>
      <c r="K62" s="370"/>
    </row>
    <row r="63" customFormat="false" ht="12.75" hidden="false" customHeight="false" outlineLevel="1" collapsed="false">
      <c r="B63" s="369"/>
      <c r="C63" s="417" t="s">
        <v>252</v>
      </c>
      <c r="D63" s="418" t="n">
        <f aca="false">IF('Research Grant'!$D$28="",0,(F37/$E$19)/$G$45)</f>
        <v>0.146462637572846</v>
      </c>
      <c r="E63" s="419" t="n">
        <f aca="false">IF('Research Grant'!$D$28="",0,$D63*'Research Grant'!H$145)</f>
        <v>13280.9390498305</v>
      </c>
      <c r="F63" s="419" t="n">
        <f aca="false">IF('Research Grant'!$D$28="",0,$D63*'Research Grant'!J$145)</f>
        <v>5691.83102135594</v>
      </c>
      <c r="G63" s="419" t="n">
        <f aca="false">IF('Research Grant'!$D$28="",0,$D63*'Research Grant'!L$145)</f>
        <v>0</v>
      </c>
      <c r="H63" s="419" t="n">
        <f aca="false">IF('Research Grant'!$D$28="",0,$D63*'Research Grant'!N$145)</f>
        <v>0</v>
      </c>
      <c r="I63" s="419" t="n">
        <f aca="false">IF('Research Grant'!$D$28="",0,$D63*'Research Grant'!P$145)</f>
        <v>0</v>
      </c>
      <c r="J63" s="385"/>
      <c r="K63" s="370"/>
    </row>
    <row r="64" customFormat="false" ht="12.75" hidden="false" customHeight="false" outlineLevel="1" collapsed="false">
      <c r="B64" s="369"/>
      <c r="C64" s="417" t="s">
        <v>253</v>
      </c>
      <c r="D64" s="418" t="n">
        <f aca="false">IF('Research Grant'!$D$28="",0,(F38/$E$19)/$G$45)</f>
        <v>0.0344102295475777</v>
      </c>
      <c r="E64" s="419" t="n">
        <f aca="false">IF('Research Grant'!$D$28="",0,$D64*'Research Grant'!H$145)</f>
        <v>3120.25079491525</v>
      </c>
      <c r="F64" s="419" t="n">
        <f aca="false">IF('Research Grant'!$D$28="",0,$D64*'Research Grant'!J$145)</f>
        <v>1337.25034067796</v>
      </c>
      <c r="G64" s="419" t="n">
        <f aca="false">IF('Research Grant'!$D$28="",0,$D64*'Research Grant'!L$145)</f>
        <v>0</v>
      </c>
      <c r="H64" s="419" t="n">
        <f aca="false">IF('Research Grant'!$D$28="",0,$D64*'Research Grant'!N$145)</f>
        <v>0</v>
      </c>
      <c r="I64" s="419" t="n">
        <f aca="false">IF('Research Grant'!$D$28="",0,$D64*'Research Grant'!P$145)</f>
        <v>0</v>
      </c>
      <c r="J64" s="385"/>
      <c r="K64" s="370"/>
    </row>
    <row r="65" customFormat="false" ht="12.75" hidden="false" customHeight="false" outlineLevel="1" collapsed="false">
      <c r="B65" s="369"/>
      <c r="C65" s="417" t="s">
        <v>254</v>
      </c>
      <c r="D65" s="418" t="n">
        <f aca="false">IF('Research Grant'!$D$28="",0,(F39/$E$19)/$G$45)</f>
        <v>0.201603641176209</v>
      </c>
      <c r="E65" s="419" t="n">
        <f aca="false">IF('Research Grant'!$D$28="",0,$D65*'Research Grant'!H$145)</f>
        <v>18281.0149745763</v>
      </c>
      <c r="F65" s="419" t="n">
        <f aca="false">IF('Research Grant'!$D$28="",0,$D65*'Research Grant'!J$145)</f>
        <v>7834.72070338983</v>
      </c>
      <c r="G65" s="419" t="n">
        <f aca="false">IF('Research Grant'!$D$28="",0,$D65*'Research Grant'!L$145)</f>
        <v>0</v>
      </c>
      <c r="H65" s="419" t="n">
        <f aca="false">IF('Research Grant'!$D$28="",0,$D65*'Research Grant'!N$145)</f>
        <v>0</v>
      </c>
      <c r="I65" s="419" t="n">
        <f aca="false">IF('Research Grant'!$D$28="",0,$D65*'Research Grant'!P$145)</f>
        <v>0</v>
      </c>
      <c r="J65" s="385"/>
      <c r="K65" s="370"/>
    </row>
    <row r="66" customFormat="false" ht="12.75" hidden="false" customHeight="false" outlineLevel="1" collapsed="false">
      <c r="B66" s="369"/>
      <c r="C66" s="417" t="s">
        <v>255</v>
      </c>
      <c r="D66" s="418" t="n">
        <f aca="false">IF('Research Grant'!$D$28="",0,(F40/$E$19)/$G$45)</f>
        <v>0.0269573486365052</v>
      </c>
      <c r="E66" s="419" t="n">
        <f aca="false">IF('Research Grant'!$D$28="",0,$D66*'Research Grant'!H$145)</f>
        <v>2444.43845966102</v>
      </c>
      <c r="F66" s="419" t="n">
        <f aca="false">IF('Research Grant'!$D$28="",0,$D66*'Research Grant'!J$145)</f>
        <v>1047.61648271187</v>
      </c>
      <c r="G66" s="419" t="n">
        <f aca="false">IF('Research Grant'!$D$28="",0,$D66*'Research Grant'!L$145)</f>
        <v>0</v>
      </c>
      <c r="H66" s="419" t="n">
        <f aca="false">IF('Research Grant'!$D$28="",0,$D66*'Research Grant'!N$145)</f>
        <v>0</v>
      </c>
      <c r="I66" s="419" t="n">
        <f aca="false">IF('Research Grant'!$D$28="",0,$D66*'Research Grant'!P$145)</f>
        <v>0</v>
      </c>
      <c r="J66" s="385"/>
      <c r="K66" s="370"/>
    </row>
    <row r="67" customFormat="false" ht="12.75" hidden="false" customHeight="false" outlineLevel="1" collapsed="false">
      <c r="B67" s="369"/>
      <c r="C67" s="417" t="s">
        <v>256</v>
      </c>
      <c r="D67" s="418" t="n">
        <f aca="false">IF('Research Grant'!$D$28="",0,(F41/$E$19)/$G$45)</f>
        <v>0</v>
      </c>
      <c r="E67" s="419" t="n">
        <f aca="false">IF('Research Grant'!$D$28="",0,$D67*'Research Grant'!H$145)</f>
        <v>0</v>
      </c>
      <c r="F67" s="419" t="n">
        <f aca="false">IF('Research Grant'!$D$28="",0,$D67*'Research Grant'!J$145)</f>
        <v>0</v>
      </c>
      <c r="G67" s="419" t="n">
        <f aca="false">IF('Research Grant'!$D$28="",0,$D67*'Research Grant'!L$145)</f>
        <v>0</v>
      </c>
      <c r="H67" s="419" t="n">
        <f aca="false">IF('Research Grant'!$D$28="",0,$D67*'Research Grant'!N$145)</f>
        <v>0</v>
      </c>
      <c r="I67" s="419" t="n">
        <f aca="false">IF('Research Grant'!$D$28="",0,$D67*'Research Grant'!P$145)</f>
        <v>0</v>
      </c>
      <c r="J67" s="385"/>
      <c r="K67" s="370"/>
    </row>
    <row r="68" customFormat="false" ht="12.75" hidden="false" customHeight="false" outlineLevel="1" collapsed="false">
      <c r="B68" s="369"/>
      <c r="C68" s="417" t="s">
        <v>257</v>
      </c>
      <c r="D68" s="418" t="n">
        <f aca="false">IF('Research Grant'!$D$28="",0,(F42/$E$19)/$G$45)</f>
        <v>0</v>
      </c>
      <c r="E68" s="419" t="n">
        <f aca="false">IF('Research Grant'!$D$28="",0,$D68*'Research Grant'!H$145)</f>
        <v>0</v>
      </c>
      <c r="F68" s="419" t="n">
        <f aca="false">IF('Research Grant'!$D$28="",0,$D68*'Research Grant'!J$145)</f>
        <v>0</v>
      </c>
      <c r="G68" s="419" t="n">
        <f aca="false">IF('Research Grant'!$D$28="",0,$D68*'Research Grant'!L$145)</f>
        <v>0</v>
      </c>
      <c r="H68" s="419" t="n">
        <f aca="false">IF('Research Grant'!$D$28="",0,$D68*'Research Grant'!N$145)</f>
        <v>0</v>
      </c>
      <c r="I68" s="419" t="n">
        <f aca="false">IF('Research Grant'!$D$28="",0,$D68*'Research Grant'!P$145)</f>
        <v>0</v>
      </c>
      <c r="J68" s="385"/>
      <c r="K68" s="370"/>
    </row>
    <row r="69" customFormat="false" ht="12.75" hidden="false" customHeight="false" outlineLevel="1" collapsed="false">
      <c r="B69" s="369"/>
      <c r="C69" s="392" t="s">
        <v>258</v>
      </c>
      <c r="D69" s="420" t="n">
        <f aca="false">IF('Research Grant'!$D$28="",0,(F43/$E$19)/$G$45)</f>
        <v>0.409448818897638</v>
      </c>
      <c r="E69" s="377" t="n">
        <f aca="false">SUM(E63:E68)</f>
        <v>37126.6432789831</v>
      </c>
      <c r="F69" s="377" t="n">
        <f aca="false">SUM(F63:F68)</f>
        <v>15911.4185481356</v>
      </c>
      <c r="G69" s="377" t="n">
        <f aca="false">SUM(G63:G68)</f>
        <v>0</v>
      </c>
      <c r="H69" s="377" t="n">
        <f aca="false">SUM(H63:H68)</f>
        <v>0</v>
      </c>
      <c r="I69" s="377" t="n">
        <f aca="false">SUM(I63:I68)</f>
        <v>0</v>
      </c>
      <c r="J69" s="385"/>
      <c r="K69" s="370"/>
    </row>
    <row r="70" customFormat="false" ht="14.25" hidden="false" customHeight="false" outlineLevel="1" collapsed="false">
      <c r="B70" s="369"/>
      <c r="C70" s="386"/>
      <c r="F70" s="422"/>
      <c r="J70" s="385"/>
      <c r="K70" s="370"/>
    </row>
    <row r="71" customFormat="false" ht="15" hidden="false" customHeight="false" outlineLevel="1" collapsed="false">
      <c r="B71" s="369"/>
      <c r="C71" s="421" t="s">
        <v>268</v>
      </c>
      <c r="J71" s="385"/>
      <c r="K71" s="370"/>
    </row>
    <row r="72" customFormat="false" ht="12.75" hidden="false" customHeight="false" outlineLevel="1" collapsed="false">
      <c r="B72" s="369"/>
      <c r="C72" s="417" t="s">
        <v>252</v>
      </c>
      <c r="D72" s="418" t="n">
        <f aca="false">IF('Research Grant'!$D$28="",0,(G37/$E$19)/$G$45)</f>
        <v>0.237433219561143</v>
      </c>
      <c r="E72" s="419" t="n">
        <f aca="false">IF('Research Grant'!$D$28="",0,$D72*'Research Grant'!H$145)</f>
        <v>21529.9694833653</v>
      </c>
      <c r="F72" s="419" t="n">
        <f aca="false">IF('Research Grant'!$D$28="",0,$D72*'Research Grant'!J$145)</f>
        <v>9227.12977858514</v>
      </c>
      <c r="G72" s="419" t="n">
        <f aca="false">IF('Research Grant'!$D$28="",0,$D72*'Research Grant'!L$145)</f>
        <v>0</v>
      </c>
      <c r="H72" s="419" t="n">
        <f aca="false">IF('Research Grant'!$D$28="",0,$D72*'Research Grant'!N$145)</f>
        <v>0</v>
      </c>
      <c r="I72" s="419" t="n">
        <f aca="false">IF('Research Grant'!$D$28="",0,$D72*'Research Grant'!P$145)</f>
        <v>0</v>
      </c>
      <c r="J72" s="385"/>
      <c r="K72" s="370"/>
    </row>
    <row r="73" customFormat="false" ht="12.75" hidden="false" customHeight="false" outlineLevel="1" collapsed="false">
      <c r="B73" s="369"/>
      <c r="C73" s="417" t="s">
        <v>253</v>
      </c>
      <c r="D73" s="418" t="n">
        <f aca="false">IF('Research Grant'!$D$28="",0,(G38/$E$19)/$G$45)</f>
        <v>0.173530616195822</v>
      </c>
      <c r="E73" s="419" t="n">
        <f aca="false">IF('Research Grant'!$D$28="",0,$D73*'Research Grant'!H$145)</f>
        <v>15735.4092154047</v>
      </c>
      <c r="F73" s="419" t="n">
        <f aca="false">IF('Research Grant'!$D$28="",0,$D73*'Research Grant'!J$145)</f>
        <v>6743.74680660204</v>
      </c>
      <c r="G73" s="419" t="n">
        <f aca="false">IF('Research Grant'!$D$28="",0,$D73*'Research Grant'!L$145)</f>
        <v>0</v>
      </c>
      <c r="H73" s="419" t="n">
        <f aca="false">IF('Research Grant'!$D$28="",0,$D73*'Research Grant'!N$145)</f>
        <v>0</v>
      </c>
      <c r="I73" s="419" t="n">
        <f aca="false">IF('Research Grant'!$D$28="",0,$D73*'Research Grant'!P$145)</f>
        <v>0</v>
      </c>
      <c r="J73" s="385"/>
      <c r="K73" s="370"/>
    </row>
    <row r="74" customFormat="false" ht="12.75" hidden="false" customHeight="false" outlineLevel="1" collapsed="false">
      <c r="B74" s="369"/>
      <c r="C74" s="417" t="s">
        <v>254</v>
      </c>
      <c r="D74" s="418" t="n">
        <f aca="false">IF('Research Grant'!$D$28="",0,(G39/$E$19)/$G$45)</f>
        <v>0.294714588607083</v>
      </c>
      <c r="E74" s="419" t="n">
        <f aca="false">IF('Research Grant'!$D$28="",0,$D74*'Research Grant'!H$145)</f>
        <v>26724.1294657131</v>
      </c>
      <c r="F74" s="419" t="n">
        <f aca="false">IF('Research Grant'!$D$28="",0,$D74*'Research Grant'!J$145)</f>
        <v>11453.1983424485</v>
      </c>
      <c r="G74" s="419" t="n">
        <f aca="false">IF('Research Grant'!$D$28="",0,$D74*'Research Grant'!L$145)</f>
        <v>0</v>
      </c>
      <c r="H74" s="419" t="n">
        <f aca="false">IF('Research Grant'!$D$28="",0,$D74*'Research Grant'!N$145)</f>
        <v>0</v>
      </c>
      <c r="I74" s="419" t="n">
        <f aca="false">IF('Research Grant'!$D$28="",0,$D74*'Research Grant'!P$145)</f>
        <v>0</v>
      </c>
      <c r="J74" s="385"/>
      <c r="K74" s="370"/>
    </row>
    <row r="75" customFormat="false" ht="12.75" hidden="false" customHeight="false" outlineLevel="1" collapsed="false">
      <c r="B75" s="369"/>
      <c r="C75" s="417" t="s">
        <v>255</v>
      </c>
      <c r="D75" s="418" t="n">
        <f aca="false">IF('Research Grant'!$D$28="",0,(G40/$E$19)/$G$45)</f>
        <v>0.167806189811004</v>
      </c>
      <c r="E75" s="419" t="n">
        <f aca="false">IF('Research Grant'!$D$28="",0,$D75*'Research Grant'!H$145)</f>
        <v>15216.3296796822</v>
      </c>
      <c r="F75" s="419" t="n">
        <f aca="false">IF('Research Grant'!$D$28="",0,$D75*'Research Grant'!J$145)</f>
        <v>6521.28414843524</v>
      </c>
      <c r="G75" s="419" t="n">
        <f aca="false">IF('Research Grant'!$D$28="",0,$D75*'Research Grant'!L$145)</f>
        <v>0</v>
      </c>
      <c r="H75" s="419" t="n">
        <f aca="false">IF('Research Grant'!$D$28="",0,$D75*'Research Grant'!N$145)</f>
        <v>0</v>
      </c>
      <c r="I75" s="419" t="n">
        <f aca="false">IF('Research Grant'!$D$28="",0,$D75*'Research Grant'!P$145)</f>
        <v>0</v>
      </c>
      <c r="J75" s="385"/>
      <c r="K75" s="370"/>
    </row>
    <row r="76" customFormat="false" ht="12.75" hidden="false" customHeight="false" outlineLevel="1" collapsed="false">
      <c r="B76" s="369"/>
      <c r="C76" s="417" t="s">
        <v>256</v>
      </c>
      <c r="D76" s="418" t="n">
        <f aca="false">IF('Research Grant'!$D$28="",0,(G41/$E$19)/$G$45)</f>
        <v>0.126500423860448</v>
      </c>
      <c r="E76" s="419" t="n">
        <f aca="false">IF('Research Grant'!$D$28="",0,$D76*'Research Grant'!H$145)</f>
        <v>11470.8054348177</v>
      </c>
      <c r="F76" s="419" t="n">
        <f aca="false">IF('Research Grant'!$D$28="",0,$D76*'Research Grant'!J$145)</f>
        <v>4916.05947206473</v>
      </c>
      <c r="G76" s="419" t="n">
        <f aca="false">IF('Research Grant'!$D$28="",0,$D76*'Research Grant'!L$145)</f>
        <v>0</v>
      </c>
      <c r="H76" s="419" t="n">
        <f aca="false">IF('Research Grant'!$D$28="",0,$D76*'Research Grant'!N$145)</f>
        <v>0</v>
      </c>
      <c r="I76" s="419" t="n">
        <f aca="false">IF('Research Grant'!$D$28="",0,$D76*'Research Grant'!P$145)</f>
        <v>0</v>
      </c>
      <c r="J76" s="385"/>
      <c r="K76" s="370"/>
    </row>
    <row r="77" customFormat="false" ht="12.75" hidden="false" customHeight="false" outlineLevel="1" collapsed="false">
      <c r="B77" s="369"/>
      <c r="C77" s="417" t="s">
        <v>257</v>
      </c>
      <c r="D77" s="418" t="n">
        <f aca="false">IF('Research Grant'!$D$28="",0,(G42/$E$19)/$G$45)</f>
        <v>0</v>
      </c>
      <c r="E77" s="419" t="n">
        <f aca="false">IF('Research Grant'!$D$28="",0,$D77*'Research Grant'!H$145)</f>
        <v>0</v>
      </c>
      <c r="F77" s="419" t="n">
        <f aca="false">IF('Research Grant'!$D$28="",0,$D77*'Research Grant'!J$145)</f>
        <v>0</v>
      </c>
      <c r="G77" s="419" t="n">
        <f aca="false">IF('Research Grant'!$D$28="",0,$D77*'Research Grant'!L$145)</f>
        <v>0</v>
      </c>
      <c r="H77" s="419" t="n">
        <f aca="false">IF('Research Grant'!$D$28="",0,$D77*'Research Grant'!N$145)</f>
        <v>0</v>
      </c>
      <c r="I77" s="419" t="n">
        <f aca="false">IF('Research Grant'!$D$28="",0,$D77*'Research Grant'!P$145)</f>
        <v>0</v>
      </c>
      <c r="J77" s="385"/>
      <c r="K77" s="370"/>
    </row>
    <row r="78" customFormat="false" ht="12.75" hidden="false" customHeight="false" outlineLevel="1" collapsed="false">
      <c r="B78" s="369"/>
      <c r="C78" s="392" t="s">
        <v>258</v>
      </c>
      <c r="D78" s="420" t="n">
        <f aca="false">IF('Research Grant'!$D$28="",0,(G43/$E$19)/$G$45)</f>
        <v>0.9999850380355</v>
      </c>
      <c r="E78" s="377" t="n">
        <f aca="false">SUM(E72:E77)</f>
        <v>90676.6432789831</v>
      </c>
      <c r="F78" s="377" t="n">
        <f aca="false">SUM(F72:F77)</f>
        <v>38861.4185481356</v>
      </c>
      <c r="G78" s="377" t="n">
        <f aca="false">SUM(G72:G77)</f>
        <v>0</v>
      </c>
      <c r="H78" s="377" t="n">
        <f aca="false">SUM(H72:H77)</f>
        <v>0</v>
      </c>
      <c r="I78" s="377" t="n">
        <f aca="false">SUM(I72:I77)</f>
        <v>0</v>
      </c>
      <c r="J78" s="385"/>
      <c r="K78" s="370"/>
    </row>
    <row r="79" customFormat="false" ht="13.5" hidden="false" customHeight="false" outlineLevel="0" collapsed="false">
      <c r="B79" s="369"/>
      <c r="C79" s="423"/>
      <c r="D79" s="424"/>
      <c r="E79" s="424"/>
      <c r="F79" s="424"/>
      <c r="G79" s="424"/>
      <c r="H79" s="424"/>
      <c r="I79" s="424"/>
      <c r="J79" s="412"/>
      <c r="K79" s="370"/>
    </row>
    <row r="80" customFormat="false" ht="13.5" hidden="false" customHeight="false" outlineLevel="0" collapsed="false">
      <c r="B80" s="425"/>
      <c r="C80" s="426"/>
      <c r="D80" s="426"/>
      <c r="E80" s="426"/>
      <c r="F80" s="426"/>
      <c r="G80" s="426"/>
      <c r="H80" s="426"/>
      <c r="I80" s="426"/>
      <c r="J80" s="426"/>
      <c r="K80" s="427"/>
    </row>
    <row r="81" customFormat="false" ht="13.5" hidden="false" customHeight="false" outlineLevel="0" collapsed="false"/>
  </sheetData>
  <mergeCells count="20">
    <mergeCell ref="B3:K8"/>
    <mergeCell ref="D15:E15"/>
    <mergeCell ref="D16:E16"/>
    <mergeCell ref="D17:E17"/>
    <mergeCell ref="C19:D19"/>
    <mergeCell ref="C26:D26"/>
    <mergeCell ref="C27:D27"/>
    <mergeCell ref="C28:D28"/>
    <mergeCell ref="C29:D29"/>
    <mergeCell ref="C30:D30"/>
    <mergeCell ref="C31:D31"/>
    <mergeCell ref="C32:D32"/>
    <mergeCell ref="C37:D37"/>
    <mergeCell ref="C38:D38"/>
    <mergeCell ref="C39:D39"/>
    <mergeCell ref="C40:D40"/>
    <mergeCell ref="C41:D41"/>
    <mergeCell ref="C42:D42"/>
    <mergeCell ref="C43:D43"/>
    <mergeCell ref="C45:D45"/>
  </mergeCells>
  <dataValidations count="1">
    <dataValidation allowBlank="true" operator="between" prompt="Detta är ett fritextfält" promptTitle="Projektledare/-ansvarig" showDropDown="false" showErrorMessage="true" showInputMessage="true" sqref="D15:E17"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3"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L80"/>
  <sheetViews>
    <sheetView showFormulas="false" showGridLines="false" showRowColHeaders="true" showZeros="true" rightToLeft="false" tabSelected="false" showOutlineSymbols="true" defaultGridColor="true" view="normal" topLeftCell="A21" colorId="64" zoomScale="100" zoomScaleNormal="100" zoomScalePageLayoutView="100" workbookViewId="0">
      <selection pane="topLeft" activeCell="N26" activeCellId="0" sqref="N26"/>
    </sheetView>
  </sheetViews>
  <sheetFormatPr defaultColWidth="8.73046875" defaultRowHeight="14.25" zeroHeight="false" outlineLevelRow="0" outlineLevelCol="0"/>
  <cols>
    <col collapsed="false" customWidth="true" hidden="false" outlineLevel="0" max="1" min="1" style="139" width="2"/>
    <col collapsed="false" customWidth="true" hidden="false" outlineLevel="0" max="2" min="2" style="139" width="2.38"/>
    <col collapsed="false" customWidth="true" hidden="false" outlineLevel="0" max="3" min="3" style="139" width="22.63"/>
    <col collapsed="false" customWidth="true" hidden="false" outlineLevel="0" max="4" min="4" style="139" width="22"/>
    <col collapsed="false" customWidth="true" hidden="false" outlineLevel="0" max="5" min="5" style="139" width="15.52"/>
    <col collapsed="false" customWidth="true" hidden="false" outlineLevel="0" max="6" min="6" style="139" width="19"/>
    <col collapsed="false" customWidth="true" hidden="false" outlineLevel="0" max="7" min="7" style="139" width="17.12"/>
    <col collapsed="false" customWidth="true" hidden="false" outlineLevel="0" max="8" min="8" style="139" width="12.5"/>
    <col collapsed="false" customWidth="true" hidden="false" outlineLevel="0" max="9" min="9" style="139" width="14.25"/>
    <col collapsed="false" customWidth="true" hidden="false" outlineLevel="0" max="10" min="10" style="139" width="2.75"/>
    <col collapsed="false" customWidth="true" hidden="false" outlineLevel="0" max="11" min="11" style="139" width="2.13"/>
    <col collapsed="false" customWidth="false" hidden="false" outlineLevel="0" max="1024" min="12" style="139" width="8.74"/>
  </cols>
  <sheetData>
    <row r="1" customFormat="false" ht="26.25" hidden="false" customHeight="false" outlineLevel="0" collapsed="false">
      <c r="B1" s="8" t="s">
        <v>269</v>
      </c>
      <c r="C1" s="8"/>
      <c r="D1" s="8"/>
      <c r="E1" s="8"/>
      <c r="F1" s="8"/>
      <c r="G1" s="8"/>
      <c r="H1" s="8"/>
      <c r="I1" s="8"/>
      <c r="J1" s="8"/>
    </row>
    <row r="2" customFormat="false" ht="14.45" hidden="false" customHeight="true" outlineLevel="0" collapsed="false"/>
    <row r="3" customFormat="false" ht="14.45" hidden="false" customHeight="true" outlineLevel="0" collapsed="false">
      <c r="B3" s="142" t="s">
        <v>270</v>
      </c>
      <c r="C3" s="142"/>
      <c r="D3" s="142"/>
      <c r="E3" s="142"/>
      <c r="F3" s="142"/>
      <c r="G3" s="142"/>
      <c r="H3" s="142"/>
      <c r="I3" s="142"/>
      <c r="J3" s="142"/>
    </row>
    <row r="4" customFormat="false" ht="14.45" hidden="false" customHeight="true" outlineLevel="0" collapsed="false">
      <c r="B4" s="142"/>
      <c r="C4" s="142"/>
      <c r="D4" s="142"/>
      <c r="E4" s="142"/>
      <c r="F4" s="142"/>
      <c r="G4" s="142"/>
      <c r="H4" s="142"/>
      <c r="I4" s="142"/>
      <c r="J4" s="142"/>
    </row>
    <row r="5" customFormat="false" ht="14.45" hidden="false" customHeight="true" outlineLevel="0" collapsed="false">
      <c r="B5" s="142"/>
      <c r="C5" s="142"/>
      <c r="D5" s="142"/>
      <c r="E5" s="142"/>
      <c r="F5" s="142"/>
      <c r="G5" s="142"/>
      <c r="H5" s="142"/>
      <c r="I5" s="142"/>
      <c r="J5" s="142"/>
    </row>
    <row r="6" customFormat="false" ht="14.45" hidden="false" customHeight="true" outlineLevel="0" collapsed="false">
      <c r="B6" s="142"/>
      <c r="C6" s="142"/>
      <c r="D6" s="142"/>
      <c r="E6" s="142"/>
      <c r="F6" s="142"/>
      <c r="G6" s="142"/>
      <c r="H6" s="142"/>
      <c r="I6" s="142"/>
      <c r="J6" s="142"/>
    </row>
    <row r="7" customFormat="false" ht="14.45" hidden="false" customHeight="true" outlineLevel="0" collapsed="false">
      <c r="B7" s="142"/>
      <c r="C7" s="142"/>
      <c r="D7" s="142"/>
      <c r="E7" s="142"/>
      <c r="F7" s="142"/>
      <c r="G7" s="142"/>
      <c r="H7" s="142"/>
      <c r="I7" s="142"/>
      <c r="J7" s="142"/>
    </row>
    <row r="8" customFormat="false" ht="14.45" hidden="false" customHeight="true" outlineLevel="0" collapsed="false">
      <c r="B8" s="142"/>
      <c r="C8" s="142"/>
      <c r="D8" s="142"/>
      <c r="E8" s="142"/>
      <c r="F8" s="142"/>
      <c r="G8" s="142"/>
      <c r="H8" s="142"/>
      <c r="I8" s="142"/>
      <c r="J8" s="142"/>
    </row>
    <row r="9" customFormat="false" ht="28.5" hidden="false" customHeight="true" outlineLevel="0" collapsed="false">
      <c r="B9" s="142"/>
      <c r="C9" s="142"/>
      <c r="D9" s="142"/>
      <c r="E9" s="142"/>
      <c r="F9" s="142"/>
      <c r="G9" s="142"/>
      <c r="H9" s="142"/>
      <c r="I9" s="142"/>
      <c r="J9" s="142"/>
      <c r="L9" s="428"/>
    </row>
    <row r="10" customFormat="false" ht="14.45" hidden="false" customHeight="true" outlineLevel="0" collapsed="false">
      <c r="C10" s="11"/>
      <c r="D10" s="11"/>
      <c r="E10" s="11"/>
      <c r="F10" s="11"/>
      <c r="G10" s="11"/>
      <c r="H10" s="11"/>
      <c r="I10" s="11"/>
    </row>
    <row r="11" customFormat="false" ht="14.45" hidden="false" customHeight="true" outlineLevel="0" collapsed="false">
      <c r="B11" s="144"/>
      <c r="C11" s="145"/>
      <c r="D11" s="145"/>
      <c r="E11" s="145"/>
      <c r="F11" s="145"/>
      <c r="G11" s="145"/>
      <c r="H11" s="145"/>
      <c r="I11" s="145"/>
      <c r="J11" s="429"/>
    </row>
    <row r="12" customFormat="false" ht="14.25" hidden="false" customHeight="false" outlineLevel="0" collapsed="false">
      <c r="B12" s="148"/>
      <c r="C12" s="121" t="s">
        <v>117</v>
      </c>
      <c r="D12" s="121"/>
      <c r="E12" s="121"/>
      <c r="F12" s="121"/>
      <c r="G12" s="121"/>
      <c r="H12" s="121"/>
      <c r="I12" s="121"/>
      <c r="J12" s="430"/>
    </row>
    <row r="13" customFormat="false" ht="14.25" hidden="false" customHeight="false" outlineLevel="0" collapsed="false">
      <c r="B13" s="148"/>
      <c r="C13" s="110"/>
      <c r="E13" s="431"/>
      <c r="F13" s="431"/>
      <c r="G13" s="432"/>
      <c r="H13" s="432"/>
      <c r="I13" s="432"/>
      <c r="J13" s="430"/>
    </row>
    <row r="14" customFormat="false" ht="14.25" hidden="false" customHeight="false" outlineLevel="0" collapsed="false">
      <c r="B14" s="148"/>
      <c r="C14" s="433" t="s">
        <v>119</v>
      </c>
      <c r="D14" s="434" t="s">
        <v>120</v>
      </c>
      <c r="E14" s="434" t="s">
        <v>122</v>
      </c>
      <c r="F14" s="435" t="s">
        <v>123</v>
      </c>
      <c r="G14" s="435" t="s">
        <v>124</v>
      </c>
      <c r="H14" s="436" t="s">
        <v>125</v>
      </c>
      <c r="I14" s="437" t="s">
        <v>126</v>
      </c>
      <c r="J14" s="430"/>
    </row>
    <row r="15" customFormat="false" ht="14.25" hidden="false" customHeight="false" outlineLevel="0" collapsed="false">
      <c r="B15" s="148"/>
      <c r="C15" s="438" t="s">
        <v>271</v>
      </c>
      <c r="D15" s="166" t="n">
        <v>3511</v>
      </c>
      <c r="E15" s="166" t="str">
        <f aca="false">IF('Research Grant'!$D$33="","Ange projektnummer",'Research Grant'!$D$33)</f>
        <v>Proj</v>
      </c>
      <c r="F15" s="439" t="str">
        <f aca="false">IF(OR('Research Grant'!$D$30="",'Research Grant'!$E$30=""),"Ange start år/månad",'Research Grant'!$D$30&amp;'Research Grant'!$E$30)</f>
        <v>202301</v>
      </c>
      <c r="G15" s="439" t="str">
        <f aca="false">IF(OR('Research Grant'!$D$31="",'Research Grant'!$E$31=""),"Ange slut år/månad",'Research Grant'!$D$31&amp;'Research Grant'!$E$31)</f>
        <v>Ange slut år/månad</v>
      </c>
      <c r="H15" s="168" t="n">
        <f aca="false">H27+H35+H43+H51+H59</f>
        <v>0</v>
      </c>
      <c r="I15" s="165" t="str">
        <f aca="false">"Budget totalt "&amp;'Research Grant'!$D$33&amp;""</f>
        <v>Budget totalt Proj</v>
      </c>
      <c r="J15" s="430"/>
    </row>
    <row r="16" customFormat="false" ht="14.25" hidden="false" customHeight="false" outlineLevel="0" collapsed="false">
      <c r="B16" s="148"/>
      <c r="C16" s="438" t="s">
        <v>25</v>
      </c>
      <c r="D16" s="166" t="n">
        <v>4011</v>
      </c>
      <c r="E16" s="166" t="str">
        <f aca="false">IF('Research Grant'!$D$33="","Ange projektnummer",'Research Grant'!$D$33)</f>
        <v>Proj</v>
      </c>
      <c r="F16" s="439" t="str">
        <f aca="false">IF(OR('Research Grant'!$D$30="",'Research Grant'!$E$30=""),"Ange start år/månad",'Research Grant'!$D$30&amp;'Research Grant'!$E$30)</f>
        <v>202301</v>
      </c>
      <c r="G16" s="439" t="str">
        <f aca="false">IF(OR('Research Grant'!$D$31="",'Research Grant'!$E$31=""),"Ange slut år/månad",'Research Grant'!$D$31&amp;'Research Grant'!$E$31)</f>
        <v>Ange slut år/månad</v>
      </c>
      <c r="H16" s="168" t="n">
        <f aca="false">H28+H36+H44+H52+H60</f>
        <v>0</v>
      </c>
      <c r="I16" s="165" t="str">
        <f aca="false">"Budget totalt "&amp;'Research Grant'!$D$33&amp;""</f>
        <v>Budget totalt Proj</v>
      </c>
      <c r="J16" s="430"/>
    </row>
    <row r="17" customFormat="false" ht="14.25" hidden="false" customHeight="false" outlineLevel="0" collapsed="false">
      <c r="B17" s="148"/>
      <c r="C17" s="438" t="s">
        <v>128</v>
      </c>
      <c r="D17" s="166" t="n">
        <v>49988</v>
      </c>
      <c r="E17" s="166" t="str">
        <f aca="false">IF('Research Grant'!$D$33="","Ange projektnummer",'Research Grant'!$D$33)</f>
        <v>Proj</v>
      </c>
      <c r="F17" s="439" t="str">
        <f aca="false">IF(OR('Research Grant'!$D$30="",'Research Grant'!$E$30=""),"Ange start år/månad",'Research Grant'!$D$30&amp;'Research Grant'!$E$30)</f>
        <v>202301</v>
      </c>
      <c r="G17" s="439" t="str">
        <f aca="false">IF(OR('Research Grant'!$D$31="",'Research Grant'!$E$31=""),"Ange slut år/månad",'Research Grant'!$D$31&amp;'Research Grant'!$E$31)</f>
        <v>Ange slut år/månad</v>
      </c>
      <c r="H17" s="168" t="n">
        <f aca="false">H29+H37+H45+H53+H61</f>
        <v>129540</v>
      </c>
      <c r="I17" s="165" t="str">
        <f aca="false">"Budget totalt "&amp;'Research Grant'!$D$33&amp;""</f>
        <v>Budget totalt Proj</v>
      </c>
      <c r="J17" s="430"/>
    </row>
    <row r="18" customFormat="false" ht="14.25" hidden="false" customHeight="false" outlineLevel="0" collapsed="false">
      <c r="B18" s="148"/>
      <c r="C18" s="438" t="s">
        <v>129</v>
      </c>
      <c r="D18" s="166" t="n">
        <v>50111</v>
      </c>
      <c r="E18" s="166" t="str">
        <f aca="false">IF('Research Grant'!$D$33="","Ange projektnummer",'Research Grant'!$D$33)</f>
        <v>Proj</v>
      </c>
      <c r="F18" s="439" t="str">
        <f aca="false">IF(OR('Research Grant'!$D$30="",'Research Grant'!$E$30=""),"Ange start år/månad",'Research Grant'!$D$30&amp;'Research Grant'!$E$30)</f>
        <v>202301</v>
      </c>
      <c r="G18" s="439" t="str">
        <f aca="false">IF(OR('Research Grant'!$D$31="",'Research Grant'!$E$31=""),"Ange slut år/månad",'Research Grant'!$D$31&amp;'Research Grant'!$E$31)</f>
        <v>Ange slut år/månad</v>
      </c>
      <c r="H18" s="168" t="n">
        <f aca="false">H30+H38+H46+H54+H62</f>
        <v>0</v>
      </c>
      <c r="I18" s="165" t="str">
        <f aca="false">"Budget totalt "&amp;'Research Grant'!$D$33&amp;""</f>
        <v>Budget totalt Proj</v>
      </c>
      <c r="J18" s="430"/>
    </row>
    <row r="19" customFormat="false" ht="14.25" hidden="false" customHeight="false" outlineLevel="0" collapsed="false">
      <c r="B19" s="148"/>
      <c r="C19" s="438" t="s">
        <v>130</v>
      </c>
      <c r="D19" s="166" t="n">
        <v>5522</v>
      </c>
      <c r="E19" s="166" t="str">
        <f aca="false">IF('Research Grant'!$D$33="","Ange projektnummer",'Research Grant'!$D$33)</f>
        <v>Proj</v>
      </c>
      <c r="F19" s="439" t="str">
        <f aca="false">IF(OR('Research Grant'!$D$30="",'Research Grant'!$E$30=""),"Ange start år/månad",'Research Grant'!$D$30&amp;'Research Grant'!$E$30)</f>
        <v>202301</v>
      </c>
      <c r="G19" s="439" t="str">
        <f aca="false">IF(OR('Research Grant'!$D$31="",'Research Grant'!$E$31=""),"Ange slut år/månad",'Research Grant'!$D$31&amp;'Research Grant'!$E$31)</f>
        <v>Ange slut år/månad</v>
      </c>
      <c r="H19" s="168" t="n">
        <f aca="false">H31+H39+H47+H55+H63</f>
        <v>0</v>
      </c>
      <c r="I19" s="165" t="str">
        <f aca="false">"Budget totalt "&amp;'Research Grant'!$D$33&amp;""</f>
        <v>Budget totalt Proj</v>
      </c>
      <c r="J19" s="430"/>
    </row>
    <row r="20" customFormat="false" ht="14.25" hidden="false" customHeight="false" outlineLevel="0" collapsed="false">
      <c r="B20" s="148"/>
      <c r="C20" s="438" t="s">
        <v>131</v>
      </c>
      <c r="D20" s="166" t="n">
        <v>5797</v>
      </c>
      <c r="E20" s="166" t="str">
        <f aca="false">IF('Research Grant'!$D$33="","Ange projektnummer",'Research Grant'!$D$33)</f>
        <v>Proj</v>
      </c>
      <c r="F20" s="439" t="str">
        <f aca="false">IF(OR('Research Grant'!$D$30="",'Research Grant'!$E$30=""),"Ange start år/månad",'Research Grant'!$D$30&amp;'Research Grant'!$E$30)</f>
        <v>202301</v>
      </c>
      <c r="G20" s="439" t="str">
        <f aca="false">IF(OR('Research Grant'!$D$31="",'Research Grant'!$E$31=""),"Ange slut år/månad",'Research Grant'!$D$31&amp;'Research Grant'!$E$31)</f>
        <v>Ange slut år/månad</v>
      </c>
      <c r="H20" s="168" t="n">
        <f aca="false">H32+H40+H48+H56+H64</f>
        <v>510000</v>
      </c>
      <c r="I20" s="165" t="str">
        <f aca="false">"Budget totalt "&amp;'Research Grant'!$D$33&amp;""</f>
        <v>Budget totalt Proj</v>
      </c>
      <c r="J20" s="430"/>
    </row>
    <row r="21" customFormat="false" ht="14.25" hidden="false" customHeight="false" outlineLevel="0" collapsed="false">
      <c r="B21" s="148"/>
      <c r="C21" s="438" t="s">
        <v>272</v>
      </c>
      <c r="D21" s="166" t="n">
        <v>57849</v>
      </c>
      <c r="E21" s="166" t="str">
        <f aca="false">IF('Research Grant'!$D$33="","Ange projektnummer",'Research Grant'!$D$33)</f>
        <v>Proj</v>
      </c>
      <c r="F21" s="439" t="str">
        <f aca="false">IF(OR('Research Grant'!$D$30="",'Research Grant'!$E$30=""),"Ange start år/månad",'Research Grant'!$D$30&amp;'Research Grant'!$E$30)</f>
        <v>202301</v>
      </c>
      <c r="G21" s="439" t="str">
        <f aca="false">IF(OR('Research Grant'!$D$31="",'Research Grant'!$E$31=""),"Ange slut år/månad",'Research Grant'!$D$31&amp;'Research Grant'!$E$31)</f>
        <v>Ange slut år/månad</v>
      </c>
      <c r="H21" s="168" t="n">
        <f aca="false">H33+H41+H49+H57+H65</f>
        <v>0</v>
      </c>
      <c r="I21" s="165" t="str">
        <f aca="false">"Budget totalt "&amp;'Research Grant'!$D$33&amp;""</f>
        <v>Budget totalt Proj</v>
      </c>
      <c r="J21" s="430"/>
    </row>
    <row r="22" customFormat="false" ht="14.25" hidden="false" customHeight="false" outlineLevel="0" collapsed="false">
      <c r="B22" s="148"/>
      <c r="C22" s="438" t="s">
        <v>133</v>
      </c>
      <c r="D22" s="170" t="n">
        <v>6911</v>
      </c>
      <c r="E22" s="166" t="str">
        <f aca="false">IF('Research Grant'!$D$33="","Ange projektnummer",'Research Grant'!$D$33)</f>
        <v>Proj</v>
      </c>
      <c r="F22" s="439" t="str">
        <f aca="false">IF(OR('Research Grant'!$D$30="",'Research Grant'!$E$30=""),"Ange start år/månad",'Research Grant'!$D$30&amp;'Research Grant'!$E$30)</f>
        <v>202301</v>
      </c>
      <c r="G22" s="439" t="str">
        <f aca="false">IF(OR('Research Grant'!$D$31="",'Research Grant'!$E$31=""),"Ange slut år/månad",'Research Grant'!$D$31&amp;'Research Grant'!$E$31)</f>
        <v>Ange slut år/månad</v>
      </c>
      <c r="H22" s="440" t="n">
        <f aca="false">H34+H42+H50+H58+H66</f>
        <v>0</v>
      </c>
      <c r="I22" s="169" t="str">
        <f aca="false">"Budget totalt "&amp;'Research Grant'!$D$33&amp;""</f>
        <v>Budget totalt Proj</v>
      </c>
      <c r="J22" s="430"/>
    </row>
    <row r="23" customFormat="false" ht="14.25" hidden="false" customHeight="false" outlineLevel="0" collapsed="false">
      <c r="B23" s="148"/>
      <c r="C23" s="6"/>
      <c r="D23" s="6"/>
      <c r="G23" s="441"/>
      <c r="H23" s="441"/>
      <c r="I23" s="442"/>
      <c r="J23" s="430"/>
    </row>
    <row r="24" customFormat="false" ht="14.25" hidden="false" customHeight="false" outlineLevel="0" collapsed="false">
      <c r="B24" s="148"/>
      <c r="C24" s="121" t="s">
        <v>134</v>
      </c>
      <c r="D24" s="121"/>
      <c r="E24" s="121"/>
      <c r="F24" s="121"/>
      <c r="G24" s="121"/>
      <c r="H24" s="121"/>
      <c r="I24" s="121"/>
      <c r="J24" s="430"/>
    </row>
    <row r="25" customFormat="false" ht="14.25" hidden="false" customHeight="false" outlineLevel="0" collapsed="false">
      <c r="B25" s="148"/>
      <c r="C25" s="110"/>
      <c r="D25" s="6"/>
      <c r="E25" s="431"/>
      <c r="F25" s="431"/>
      <c r="G25" s="432"/>
      <c r="H25" s="432"/>
      <c r="I25" s="432"/>
      <c r="J25" s="430"/>
    </row>
    <row r="26" customFormat="false" ht="14.25" hidden="false" customHeight="false" outlineLevel="0" collapsed="false">
      <c r="B26" s="148"/>
      <c r="C26" s="433" t="s">
        <v>119</v>
      </c>
      <c r="D26" s="443" t="s">
        <v>120</v>
      </c>
      <c r="E26" s="434" t="s">
        <v>122</v>
      </c>
      <c r="F26" s="437" t="s">
        <v>123</v>
      </c>
      <c r="G26" s="444" t="s">
        <v>124</v>
      </c>
      <c r="H26" s="436" t="s">
        <v>125</v>
      </c>
      <c r="I26" s="445" t="s">
        <v>126</v>
      </c>
      <c r="J26" s="446"/>
    </row>
    <row r="27" customFormat="false" ht="14.25" hidden="false" customHeight="false" outlineLevel="0" collapsed="false">
      <c r="B27" s="148"/>
      <c r="C27" s="438" t="s">
        <v>271</v>
      </c>
      <c r="D27" s="166" t="n">
        <v>3511</v>
      </c>
      <c r="E27" s="166" t="str">
        <f aca="false">IF('Research Grant'!$D$33="","Ange projektnummer",'Research Grant'!$D$33)</f>
        <v>Proj</v>
      </c>
      <c r="F27" s="165" t="str">
        <f aca="false">IF(OR('Research Grant'!$D$30="",'Research Grant'!$E$30=""),"Ange start år/månad",'Research Grant'!$D$30&amp;'Research Grant'!$E$30)</f>
        <v>202301</v>
      </c>
      <c r="G27" s="439" t="str">
        <f aca="false">IF(OR('Research Grant'!$D$30="",'Research Grant'!$E$31=""),"Ange slut år/månad",IF(_xlfn.NUMBERVALUE('Research Grant'!$D$30)='Research Grant'!$D$31,'Research Grant'!$D$30&amp;'Research Grant'!$E$31,'Research Grant'!$D$30&amp;"12"))</f>
        <v>Ange slut år/månad</v>
      </c>
      <c r="H27" s="168" t="n">
        <f aca="false">'Research Grant'!H$159*-1</f>
        <v>0</v>
      </c>
      <c r="I27" s="165" t="str">
        <f aca="false">IF(OR('Research Grant'!$D$30="",'Research Grant'!$E$30=""),"",IF('Research Grant'!$D$33="","","Budget "&amp;'Research Grant'!$D$33&amp;" "&amp;'Research Grant'!H$40))</f>
        <v>Budget Proj 2023</v>
      </c>
      <c r="J27" s="430"/>
    </row>
    <row r="28" customFormat="false" ht="14.25" hidden="false" customHeight="false" outlineLevel="0" collapsed="false">
      <c r="B28" s="148"/>
      <c r="C28" s="438" t="s">
        <v>25</v>
      </c>
      <c r="D28" s="166" t="n">
        <v>4011</v>
      </c>
      <c r="E28" s="166" t="str">
        <f aca="false">IF('Research Grant'!$D$33="","Ange projektnummer",'Research Grant'!$D$33)</f>
        <v>Proj</v>
      </c>
      <c r="F28" s="165" t="str">
        <f aca="false">IF(OR('Research Grant'!$D$30="",'Research Grant'!$E$30=""),"Ange start år/månad",'Research Grant'!$D$30&amp;'Research Grant'!$E$30)</f>
        <v>202301</v>
      </c>
      <c r="G28" s="439" t="str">
        <f aca="false">IF(OR('Research Grant'!$D$30="",'Research Grant'!$E$31=""),"Ange slut år/månad",IF(_xlfn.NUMBERVALUE('Research Grant'!$D$30)='Research Grant'!$D$31,'Research Grant'!$D$30&amp;'Research Grant'!$E$31,'Research Grant'!$D$30&amp;"12"))</f>
        <v>Ange slut år/månad</v>
      </c>
      <c r="H28" s="168" t="n">
        <f aca="false">'Research Grant'!H$86</f>
        <v>0</v>
      </c>
      <c r="I28" s="165" t="str">
        <f aca="false">IF(OR('Research Grant'!$D$30="",'Research Grant'!$E$30=""),"",IF('Research Grant'!$D$33="","","Budget "&amp;'Research Grant'!$D$33&amp;" "&amp;'Research Grant'!H$40))</f>
        <v>Budget Proj 2023</v>
      </c>
      <c r="J28" s="430"/>
    </row>
    <row r="29" customFormat="false" ht="14.25" hidden="false" customHeight="false" outlineLevel="0" collapsed="false">
      <c r="B29" s="148"/>
      <c r="C29" s="438" t="s">
        <v>128</v>
      </c>
      <c r="D29" s="166" t="n">
        <v>49988</v>
      </c>
      <c r="E29" s="166" t="str">
        <f aca="false">IF('Research Grant'!$D$33="","Ange projektnummer",'Research Grant'!$D$33)</f>
        <v>Proj</v>
      </c>
      <c r="F29" s="165" t="str">
        <f aca="false">IF(OR('Research Grant'!$D$30="",'Research Grant'!$E$30=""),"Ange start år/månad",'Research Grant'!$D$30&amp;'Research Grant'!$E$30)</f>
        <v>202301</v>
      </c>
      <c r="G29" s="439" t="str">
        <f aca="false">IF(OR('Research Grant'!$D$30="",'Research Grant'!$E$31=""),"Ange slut år/månad",IF(_xlfn.NUMBERVALUE('Research Grant'!$D$30)='Research Grant'!$D$31,'Research Grant'!$D$30&amp;'Research Grant'!$E$31,'Research Grant'!$D$30&amp;"12"))</f>
        <v>Ange slut år/månad</v>
      </c>
      <c r="H29" s="168" t="n">
        <f aca="false">'Research Grant'!H$145</f>
        <v>90678</v>
      </c>
      <c r="I29" s="165" t="str">
        <f aca="false">IF(OR('Research Grant'!$D$30="",'Research Grant'!$E$30=""),"",IF('Research Grant'!$D$33="","","Budget "&amp;'Research Grant'!$D$33&amp;" "&amp;'Research Grant'!H$40))</f>
        <v>Budget Proj 2023</v>
      </c>
      <c r="J29" s="430"/>
    </row>
    <row r="30" customFormat="false" ht="14.25" hidden="false" customHeight="false" outlineLevel="0" collapsed="false">
      <c r="B30" s="148"/>
      <c r="C30" s="438" t="s">
        <v>129</v>
      </c>
      <c r="D30" s="166" t="n">
        <v>50111</v>
      </c>
      <c r="E30" s="166" t="str">
        <f aca="false">IF('Research Grant'!$D$33="","Ange projektnummer",'Research Grant'!$D$33)</f>
        <v>Proj</v>
      </c>
      <c r="F30" s="165" t="str">
        <f aca="false">IF(OR('Research Grant'!$D$30="",'Research Grant'!$E$30=""),"Ange start år/månad",'Research Grant'!$D$30&amp;'Research Grant'!$E$30)</f>
        <v>202301</v>
      </c>
      <c r="G30" s="439" t="str">
        <f aca="false">IF(OR('Research Grant'!$D$30="",'Research Grant'!$E$31=""),"Ange slut år/månad",IF(_xlfn.NUMBERVALUE('Research Grant'!$D$30)='Research Grant'!$D$31,'Research Grant'!$D$30&amp;'Research Grant'!$E$31,'Research Grant'!$D$30&amp;"12"))</f>
        <v>Ange slut år/månad</v>
      </c>
      <c r="H30" s="168" t="n">
        <f aca="false">SUM('Research Grant'!I$125:I127)</f>
        <v>0</v>
      </c>
      <c r="I30" s="165" t="str">
        <f aca="false">IF(OR('Research Grant'!$D$30="",'Research Grant'!$E$30=""),"",IF('Research Grant'!$D$33="","","Budget "&amp;'Research Grant'!$D$33&amp;" "&amp;'Research Grant'!H$40))</f>
        <v>Budget Proj 2023</v>
      </c>
      <c r="J30" s="430"/>
    </row>
    <row r="31" customFormat="false" ht="14.25" hidden="false" customHeight="false" outlineLevel="0" collapsed="false">
      <c r="B31" s="148"/>
      <c r="C31" s="438" t="s">
        <v>130</v>
      </c>
      <c r="D31" s="166" t="n">
        <v>5522</v>
      </c>
      <c r="E31" s="166" t="str">
        <f aca="false">IF('Research Grant'!$D$33="","Ange projektnummer",'Research Grant'!$D$33)</f>
        <v>Proj</v>
      </c>
      <c r="F31" s="165" t="str">
        <f aca="false">IF(OR('Research Grant'!$D$30="",'Research Grant'!$E$30=""),"Ange start år/månad",'Research Grant'!$D$30&amp;'Research Grant'!$E$30)</f>
        <v>202301</v>
      </c>
      <c r="G31" s="439" t="str">
        <f aca="false">IF(OR('Research Grant'!$D$30="",'Research Grant'!$E$31=""),"Ange slut år/månad",IF(_xlfn.NUMBERVALUE('Research Grant'!$D$30)='Research Grant'!$D$31,'Research Grant'!$D$30&amp;'Research Grant'!$E$31,'Research Grant'!$D$30&amp;"12"))</f>
        <v>Ange slut år/månad</v>
      </c>
      <c r="H31" s="168" t="n">
        <f aca="false">'Research Grant'!H98</f>
        <v>0</v>
      </c>
      <c r="I31" s="165" t="str">
        <f aca="false">IF(OR('Research Grant'!$D$30="",'Research Grant'!$E$30=""),"",IF('Research Grant'!$D$33="","","Budget "&amp;'Research Grant'!$D$33&amp;" "&amp;'Research Grant'!H$40))</f>
        <v>Budget Proj 2023</v>
      </c>
      <c r="J31" s="430"/>
    </row>
    <row r="32" customFormat="false" ht="14.25" hidden="false" customHeight="false" outlineLevel="0" collapsed="false">
      <c r="B32" s="148"/>
      <c r="C32" s="438" t="s">
        <v>131</v>
      </c>
      <c r="D32" s="166" t="n">
        <v>5797</v>
      </c>
      <c r="E32" s="166" t="str">
        <f aca="false">IF('Research Grant'!$D$33="","Ange projektnummer",'Research Grant'!$D$33)</f>
        <v>Proj</v>
      </c>
      <c r="F32" s="165" t="str">
        <f aca="false">IF(OR('Research Grant'!$D$30="",'Research Grant'!$E$30=""),"Ange start år/månad",'Research Grant'!$D$30&amp;'Research Grant'!$E$30)</f>
        <v>202301</v>
      </c>
      <c r="G32" s="439" t="str">
        <f aca="false">IF(OR('Research Grant'!$D$30="",'Research Grant'!$E$31=""),"Ange slut år/månad",IF(_xlfn.NUMBERVALUE('Research Grant'!$D$30)='Research Grant'!$D$31,'Research Grant'!$D$30&amp;'Research Grant'!$E$31,'Research Grant'!$D$30&amp;"12"))</f>
        <v>Ange slut år/månad</v>
      </c>
      <c r="H32" s="168" t="n">
        <f aca="false">'Research Grant'!H114</f>
        <v>357000</v>
      </c>
      <c r="I32" s="165" t="str">
        <f aca="false">IF(OR('Research Grant'!$D$30="",'Research Grant'!$E$30=""),"",IF('Research Grant'!$D$33="","","Budget "&amp;'Research Grant'!$D$33&amp;" "&amp;'Research Grant'!H$40))</f>
        <v>Budget Proj 2023</v>
      </c>
      <c r="J32" s="430"/>
    </row>
    <row r="33" customFormat="false" ht="14.25" hidden="false" customHeight="false" outlineLevel="0" collapsed="false">
      <c r="B33" s="148"/>
      <c r="C33" s="438" t="s">
        <v>132</v>
      </c>
      <c r="D33" s="166" t="n">
        <v>57849</v>
      </c>
      <c r="E33" s="166" t="str">
        <f aca="false">IF('Research Grant'!$D$33="","Ange projektnummer",'Research Grant'!$D$33)</f>
        <v>Proj</v>
      </c>
      <c r="F33" s="165" t="str">
        <f aca="false">IF(OR('Research Grant'!$D$30="",'Research Grant'!$E$30=""),"Ange start år/månad",'Research Grant'!$D$30&amp;'Research Grant'!$E$30)</f>
        <v>202301</v>
      </c>
      <c r="G33" s="439" t="str">
        <f aca="false">IF(OR('Research Grant'!$D$30="",'Research Grant'!$E$31=""),"Ange slut år/månad",IF(_xlfn.NUMBERVALUE('Research Grant'!$D$30)='Research Grant'!$D$31,'Research Grant'!$D$30&amp;'Research Grant'!$E$31,'Research Grant'!$D$30&amp;"12"))</f>
        <v>Ange slut år/månad</v>
      </c>
      <c r="H33" s="168" t="n">
        <f aca="false">SUM('Research Grant'!I$131:I133)</f>
        <v>0</v>
      </c>
      <c r="I33" s="165" t="str">
        <f aca="false">IF(OR('Research Grant'!$D$30="",'Research Grant'!$E$30=""),"",IF('Research Grant'!$D$33="","","Budget "&amp;'Research Grant'!$D$33&amp;" "&amp;'Research Grant'!H$40))</f>
        <v>Budget Proj 2023</v>
      </c>
      <c r="J33" s="430"/>
    </row>
    <row r="34" customFormat="false" ht="14.25" hidden="false" customHeight="false" outlineLevel="0" collapsed="false">
      <c r="B34" s="148"/>
      <c r="C34" s="438" t="s">
        <v>133</v>
      </c>
      <c r="D34" s="170" t="n">
        <v>6911</v>
      </c>
      <c r="E34" s="166" t="str">
        <f aca="false">IF('Research Grant'!$D$33="","Ange projektnummer",'Research Grant'!$D$33)</f>
        <v>Proj</v>
      </c>
      <c r="F34" s="165" t="str">
        <f aca="false">IF(OR('Research Grant'!$D$30="",'Research Grant'!$E$30=""),"Ange start år/månad",'Research Grant'!$D$30&amp;'Research Grant'!$E$30)</f>
        <v>202301</v>
      </c>
      <c r="G34" s="439" t="str">
        <f aca="false">IF(OR('Research Grant'!$D$30="",'Research Grant'!$E$31=""),"Ange slut år/månad",IF(_xlfn.NUMBERVALUE('Research Grant'!$D$30)='Research Grant'!$D$31,'Research Grant'!$D$30&amp;'Research Grant'!$E$31,'Research Grant'!$D$30&amp;"12"))</f>
        <v>Ange slut år/månad</v>
      </c>
      <c r="H34" s="168" t="n">
        <f aca="false">SUM('Research Grant'!I$120:I121)</f>
        <v>0</v>
      </c>
      <c r="I34" s="165" t="str">
        <f aca="false">IF(OR('Research Grant'!$D$30="",'Research Grant'!$E$30=""),"",IF('Research Grant'!$D$33="","","Budget "&amp;'Research Grant'!$D$33&amp;" "&amp;'Research Grant'!H$40))</f>
        <v>Budget Proj 2023</v>
      </c>
      <c r="J34" s="430"/>
    </row>
    <row r="35" customFormat="false" ht="14.25" hidden="false" customHeight="false" outlineLevel="0" collapsed="false">
      <c r="B35" s="148"/>
      <c r="C35" s="438" t="s">
        <v>271</v>
      </c>
      <c r="D35" s="166" t="n">
        <v>3511</v>
      </c>
      <c r="E35" s="166" t="str">
        <f aca="false">IF('Research Grant'!$D$33="","Ange projektnummer",'Research Grant'!$D$33)</f>
        <v>Proj</v>
      </c>
      <c r="F35" s="165" t="str">
        <f aca="false">RIGHT(I35,4)&amp;"01"</f>
        <v>202401</v>
      </c>
      <c r="G35" s="439" t="str">
        <f aca="false">IF(_xlfn.NUMBERVALUE(RIGHT(I35,4))='Research Grant'!$D$31,RIGHT(I35,4)&amp;'Research Grant'!$E$31,RIGHT(I35,4)&amp;"12")</f>
        <v>202412</v>
      </c>
      <c r="H35" s="168" t="n">
        <f aca="false">'Research Grant'!J$159*-1</f>
        <v>0</v>
      </c>
      <c r="I35" s="165" t="str">
        <f aca="false">IF(OR('Research Grant'!$D$30="",'Research Grant'!$E$30=""),"",IF('Research Grant'!$D$33="","","Budget "&amp;'Research Grant'!$D$33&amp;" "&amp;'Research Grant'!H$40+1))</f>
        <v>Budget Proj 2024</v>
      </c>
      <c r="J35" s="430"/>
    </row>
    <row r="36" customFormat="false" ht="14.25" hidden="false" customHeight="false" outlineLevel="0" collapsed="false">
      <c r="B36" s="148"/>
      <c r="C36" s="438" t="s">
        <v>25</v>
      </c>
      <c r="D36" s="166" t="n">
        <v>4011</v>
      </c>
      <c r="E36" s="166" t="str">
        <f aca="false">IF('Research Grant'!$D$33="","Ange projektnummer",'Research Grant'!$D$33)</f>
        <v>Proj</v>
      </c>
      <c r="F36" s="165" t="str">
        <f aca="false">RIGHT(I36,4)&amp;"01"</f>
        <v>202401</v>
      </c>
      <c r="G36" s="439" t="str">
        <f aca="false">IF(_xlfn.NUMBERVALUE(RIGHT(I36,4))='Research Grant'!$D$31,RIGHT(I36,4)&amp;'Research Grant'!$E$31,RIGHT(I36,4)&amp;"12")</f>
        <v>202412</v>
      </c>
      <c r="H36" s="168" t="n">
        <f aca="false">'Research Grant'!J$86</f>
        <v>0</v>
      </c>
      <c r="I36" s="165" t="str">
        <f aca="false">IF(OR('Research Grant'!$D$30="",'Research Grant'!$E$30=""),"",IF('Research Grant'!$D$33="","","Budget "&amp;'Research Grant'!$D$33&amp;" "&amp;'Research Grant'!H$40+1))</f>
        <v>Budget Proj 2024</v>
      </c>
      <c r="J36" s="430"/>
    </row>
    <row r="37" customFormat="false" ht="14.25" hidden="false" customHeight="false" outlineLevel="0" collapsed="false">
      <c r="B37" s="148"/>
      <c r="C37" s="438" t="s">
        <v>128</v>
      </c>
      <c r="D37" s="166" t="n">
        <v>49988</v>
      </c>
      <c r="E37" s="166" t="str">
        <f aca="false">IF('Research Grant'!$D$33="","Ange projektnummer",'Research Grant'!$D$33)</f>
        <v>Proj</v>
      </c>
      <c r="F37" s="165" t="str">
        <f aca="false">RIGHT(I37,4)&amp;"01"</f>
        <v>202401</v>
      </c>
      <c r="G37" s="439" t="str">
        <f aca="false">IF(_xlfn.NUMBERVALUE(RIGHT(I37,4))='Research Grant'!$D$31,RIGHT(I37,4)&amp;'Research Grant'!$E$31,RIGHT(I37,4)&amp;"12")</f>
        <v>202412</v>
      </c>
      <c r="H37" s="168" t="n">
        <f aca="false">'Research Grant'!J$145</f>
        <v>38862</v>
      </c>
      <c r="I37" s="165" t="str">
        <f aca="false">IF(OR('Research Grant'!$D$30="",'Research Grant'!$E$30=""),"",IF('Research Grant'!$D$33="","","Budget "&amp;'Research Grant'!$D$33&amp;" "&amp;'Research Grant'!H$40+1))</f>
        <v>Budget Proj 2024</v>
      </c>
      <c r="J37" s="430"/>
    </row>
    <row r="38" customFormat="false" ht="14.25" hidden="false" customHeight="false" outlineLevel="0" collapsed="false">
      <c r="B38" s="148"/>
      <c r="C38" s="438" t="s">
        <v>129</v>
      </c>
      <c r="D38" s="166" t="n">
        <v>50111</v>
      </c>
      <c r="E38" s="166" t="str">
        <f aca="false">IF('Research Grant'!$D$33="","Ange projektnummer",'Research Grant'!$D$33)</f>
        <v>Proj</v>
      </c>
      <c r="F38" s="165" t="str">
        <f aca="false">RIGHT(I38,4)&amp;"01"</f>
        <v>202401</v>
      </c>
      <c r="G38" s="439" t="str">
        <f aca="false">IF(_xlfn.NUMBERVALUE(RIGHT(I38,4))='Research Grant'!$D$31,RIGHT(I38,4)&amp;'Research Grant'!$E$31,RIGHT(I38,4)&amp;"12")</f>
        <v>202412</v>
      </c>
      <c r="H38" s="168" t="n">
        <f aca="false">SUM('Research Grant'!K$125:K127)</f>
        <v>0</v>
      </c>
      <c r="I38" s="165" t="str">
        <f aca="false">IF(OR('Research Grant'!$D$30="",'Research Grant'!$E$30=""),"",IF('Research Grant'!$D$33="","","Budget "&amp;'Research Grant'!$D$33&amp;" "&amp;'Research Grant'!H$40+1))</f>
        <v>Budget Proj 2024</v>
      </c>
      <c r="J38" s="430"/>
    </row>
    <row r="39" customFormat="false" ht="14.25" hidden="false" customHeight="false" outlineLevel="0" collapsed="false">
      <c r="B39" s="148"/>
      <c r="C39" s="438" t="s">
        <v>130</v>
      </c>
      <c r="D39" s="166" t="n">
        <v>5522</v>
      </c>
      <c r="E39" s="166" t="str">
        <f aca="false">IF('Research Grant'!$D$33="","Ange projektnummer",'Research Grant'!$D$33)</f>
        <v>Proj</v>
      </c>
      <c r="F39" s="165" t="str">
        <f aca="false">RIGHT(I39,4)&amp;"01"</f>
        <v>202401</v>
      </c>
      <c r="G39" s="439" t="str">
        <f aca="false">IF(_xlfn.NUMBERVALUE(RIGHT(I39,4))='Research Grant'!$D$31,RIGHT(I39,4)&amp;'Research Grant'!$E$31,RIGHT(I39,4)&amp;"12")</f>
        <v>202412</v>
      </c>
      <c r="H39" s="168" t="n">
        <f aca="false">'Research Grant'!J98</f>
        <v>0</v>
      </c>
      <c r="I39" s="165" t="str">
        <f aca="false">IF(OR('Research Grant'!$D$30="",'Research Grant'!$E$30=""),"",IF('Research Grant'!$D$33="","","Budget "&amp;'Research Grant'!$D$33&amp;" "&amp;'Research Grant'!H$40+1))</f>
        <v>Budget Proj 2024</v>
      </c>
      <c r="J39" s="430"/>
    </row>
    <row r="40" customFormat="false" ht="14.25" hidden="false" customHeight="false" outlineLevel="0" collapsed="false">
      <c r="B40" s="148"/>
      <c r="C40" s="438" t="s">
        <v>131</v>
      </c>
      <c r="D40" s="166" t="n">
        <v>5797</v>
      </c>
      <c r="E40" s="166" t="str">
        <f aca="false">IF('Research Grant'!$D$33="","Ange projektnummer",'Research Grant'!$D$33)</f>
        <v>Proj</v>
      </c>
      <c r="F40" s="165" t="str">
        <f aca="false">RIGHT(I40,4)&amp;"01"</f>
        <v>202401</v>
      </c>
      <c r="G40" s="439" t="str">
        <f aca="false">IF(_xlfn.NUMBERVALUE(RIGHT(I40,4))='Research Grant'!$D$31,RIGHT(I40,4)&amp;'Research Grant'!$E$31,RIGHT(I40,4)&amp;"12")</f>
        <v>202412</v>
      </c>
      <c r="H40" s="168" t="n">
        <f aca="false">'Research Grant'!J114</f>
        <v>153000</v>
      </c>
      <c r="I40" s="165" t="str">
        <f aca="false">IF(OR('Research Grant'!$D$30="",'Research Grant'!$E$30=""),"",IF('Research Grant'!$D$33="","","Budget "&amp;'Research Grant'!$D$33&amp;" "&amp;'Research Grant'!H$40+1))</f>
        <v>Budget Proj 2024</v>
      </c>
      <c r="J40" s="430"/>
    </row>
    <row r="41" customFormat="false" ht="14.25" hidden="false" customHeight="false" outlineLevel="0" collapsed="false">
      <c r="B41" s="148"/>
      <c r="C41" s="438" t="s">
        <v>132</v>
      </c>
      <c r="D41" s="166" t="n">
        <v>57849</v>
      </c>
      <c r="E41" s="166" t="str">
        <f aca="false">IF('Research Grant'!$D$33="","Ange projektnummer",'Research Grant'!$D$33)</f>
        <v>Proj</v>
      </c>
      <c r="F41" s="165" t="str">
        <f aca="false">RIGHT(I41,4)&amp;"01"</f>
        <v>202401</v>
      </c>
      <c r="G41" s="439" t="str">
        <f aca="false">IF(_xlfn.NUMBERVALUE(RIGHT(I41,4))='Research Grant'!$D$31,RIGHT(I41,4)&amp;'Research Grant'!$E$31,RIGHT(I41,4)&amp;"12")</f>
        <v>202412</v>
      </c>
      <c r="H41" s="168" t="n">
        <f aca="false">SUM('Research Grant'!K$131:K133)</f>
        <v>0</v>
      </c>
      <c r="I41" s="165" t="str">
        <f aca="false">IF(OR('Research Grant'!$D$30="",'Research Grant'!$E$30=""),"",IF('Research Grant'!$D$33="","","Budget "&amp;'Research Grant'!$D$33&amp;" "&amp;'Research Grant'!H$40+1))</f>
        <v>Budget Proj 2024</v>
      </c>
      <c r="J41" s="430"/>
    </row>
    <row r="42" customFormat="false" ht="14.25" hidden="false" customHeight="false" outlineLevel="0" collapsed="false">
      <c r="B42" s="148"/>
      <c r="C42" s="438" t="s">
        <v>133</v>
      </c>
      <c r="D42" s="170" t="n">
        <v>6911</v>
      </c>
      <c r="E42" s="166" t="str">
        <f aca="false">IF('Research Grant'!$D$33="","Ange projektnummer",'Research Grant'!$D$33)</f>
        <v>Proj</v>
      </c>
      <c r="F42" s="165" t="str">
        <f aca="false">RIGHT(I42,4)&amp;"01"</f>
        <v>202401</v>
      </c>
      <c r="G42" s="439" t="str">
        <f aca="false">IF(_xlfn.NUMBERVALUE(RIGHT(I42,4))='Research Grant'!$D$31,RIGHT(I42,4)&amp;'Research Grant'!$E$31,RIGHT(I42,4)&amp;"12")</f>
        <v>202412</v>
      </c>
      <c r="H42" s="168" t="n">
        <f aca="false">SUM('Research Grant'!K$120:K121)</f>
        <v>0</v>
      </c>
      <c r="I42" s="165" t="str">
        <f aca="false">IF(OR('Research Grant'!$D$30="",'Research Grant'!$E$30=""),"",IF('Research Grant'!$D$33="","","Budget "&amp;'Research Grant'!$D$33&amp;" "&amp;'Research Grant'!H$40+1))</f>
        <v>Budget Proj 2024</v>
      </c>
      <c r="J42" s="430"/>
    </row>
    <row r="43" customFormat="false" ht="14.25" hidden="false" customHeight="false" outlineLevel="0" collapsed="false">
      <c r="B43" s="148"/>
      <c r="C43" s="438" t="s">
        <v>271</v>
      </c>
      <c r="D43" s="166" t="n">
        <v>3511</v>
      </c>
      <c r="E43" s="166" t="str">
        <f aca="false">IF('Research Grant'!$D$33="","Ange projektnummer",'Research Grant'!$D$33)</f>
        <v>Proj</v>
      </c>
      <c r="F43" s="165" t="str">
        <f aca="false">RIGHT(I43,4)&amp;"01"</f>
        <v>202501</v>
      </c>
      <c r="G43" s="439" t="str">
        <f aca="false">IF(_xlfn.NUMBERVALUE(RIGHT(I43,4))='Research Grant'!$D$31,RIGHT(I43,4)&amp;'Research Grant'!$E$31,RIGHT(I43,4)&amp;"12")</f>
        <v>202512</v>
      </c>
      <c r="H43" s="168" t="n">
        <f aca="false">'Research Grant'!L$159*-1</f>
        <v>0</v>
      </c>
      <c r="I43" s="165" t="str">
        <f aca="false">IF(OR('Research Grant'!$D$30="",'Research Grant'!$E$30=""),"",IF('Research Grant'!$D$33="","","Budget "&amp;'Research Grant'!$D$33&amp;" "&amp;'Research Grant'!H$40+2))</f>
        <v>Budget Proj 2025</v>
      </c>
      <c r="J43" s="430"/>
    </row>
    <row r="44" customFormat="false" ht="14.25" hidden="false" customHeight="false" outlineLevel="0" collapsed="false">
      <c r="B44" s="148"/>
      <c r="C44" s="438" t="s">
        <v>25</v>
      </c>
      <c r="D44" s="166" t="n">
        <v>4011</v>
      </c>
      <c r="E44" s="166" t="str">
        <f aca="false">IF('Research Grant'!$D$33="","Ange projektnummer",'Research Grant'!$D$33)</f>
        <v>Proj</v>
      </c>
      <c r="F44" s="165" t="str">
        <f aca="false">RIGHT(I44,4)&amp;"01"</f>
        <v>202501</v>
      </c>
      <c r="G44" s="439" t="str">
        <f aca="false">IF(_xlfn.NUMBERVALUE(RIGHT(I44,4))='Research Grant'!$D$31,RIGHT(I44,4)&amp;'Research Grant'!$E$31,RIGHT(I44,4)&amp;"12")</f>
        <v>202512</v>
      </c>
      <c r="H44" s="168" t="n">
        <f aca="false">'Research Grant'!L$86</f>
        <v>0</v>
      </c>
      <c r="I44" s="165" t="str">
        <f aca="false">IF(OR('Research Grant'!$D$30="",'Research Grant'!$E$30=""),"",IF('Research Grant'!$D$33="","","Budget "&amp;'Research Grant'!$D$33&amp;" "&amp;'Research Grant'!H$40+2))</f>
        <v>Budget Proj 2025</v>
      </c>
      <c r="J44" s="430"/>
    </row>
    <row r="45" customFormat="false" ht="14.25" hidden="false" customHeight="false" outlineLevel="0" collapsed="false">
      <c r="B45" s="148"/>
      <c r="C45" s="438" t="s">
        <v>128</v>
      </c>
      <c r="D45" s="166" t="n">
        <v>49988</v>
      </c>
      <c r="E45" s="166" t="str">
        <f aca="false">IF('Research Grant'!$D$33="","Ange projektnummer",'Research Grant'!$D$33)</f>
        <v>Proj</v>
      </c>
      <c r="F45" s="165" t="str">
        <f aca="false">RIGHT(I45,4)&amp;"01"</f>
        <v>202501</v>
      </c>
      <c r="G45" s="439" t="str">
        <f aca="false">IF(_xlfn.NUMBERVALUE(RIGHT(I45,4))='Research Grant'!$D$31,RIGHT(I45,4)&amp;'Research Grant'!$E$31,RIGHT(I45,4)&amp;"12")</f>
        <v>202512</v>
      </c>
      <c r="H45" s="168" t="n">
        <f aca="false">'Research Grant'!L$145</f>
        <v>0</v>
      </c>
      <c r="I45" s="165" t="str">
        <f aca="false">IF(OR('Research Grant'!$D$30="",'Research Grant'!$E$30=""),"",IF('Research Grant'!$D$33="","","Budget "&amp;'Research Grant'!$D$33&amp;" "&amp;'Research Grant'!H$40+2))</f>
        <v>Budget Proj 2025</v>
      </c>
      <c r="J45" s="430"/>
    </row>
    <row r="46" customFormat="false" ht="14.25" hidden="false" customHeight="false" outlineLevel="0" collapsed="false">
      <c r="B46" s="148"/>
      <c r="C46" s="438" t="s">
        <v>129</v>
      </c>
      <c r="D46" s="166" t="n">
        <v>50111</v>
      </c>
      <c r="E46" s="166" t="str">
        <f aca="false">IF('Research Grant'!$D$33="","Ange projektnummer",'Research Grant'!$D$33)</f>
        <v>Proj</v>
      </c>
      <c r="F46" s="165" t="str">
        <f aca="false">RIGHT(I46,4)&amp;"01"</f>
        <v>202501</v>
      </c>
      <c r="G46" s="439" t="str">
        <f aca="false">IF(_xlfn.NUMBERVALUE(RIGHT(I46,4))='Research Grant'!$D$31,RIGHT(I46,4)&amp;'Research Grant'!$E$31,RIGHT(I46,4)&amp;"12")</f>
        <v>202512</v>
      </c>
      <c r="H46" s="168" t="n">
        <f aca="false">SUM('Research Grant'!M$125:M127)</f>
        <v>0</v>
      </c>
      <c r="I46" s="165" t="str">
        <f aca="false">IF(OR('Research Grant'!$D$30="",'Research Grant'!$E$30=""),"",IF('Research Grant'!$D$33="","","Budget "&amp;'Research Grant'!$D$33&amp;" "&amp;'Research Grant'!H$40+2))</f>
        <v>Budget Proj 2025</v>
      </c>
      <c r="J46" s="430"/>
    </row>
    <row r="47" customFormat="false" ht="14.25" hidden="false" customHeight="false" outlineLevel="0" collapsed="false">
      <c r="B47" s="148"/>
      <c r="C47" s="438" t="s">
        <v>130</v>
      </c>
      <c r="D47" s="166" t="n">
        <v>5522</v>
      </c>
      <c r="E47" s="166" t="str">
        <f aca="false">IF('Research Grant'!$D$33="","Ange projektnummer",'Research Grant'!$D$33)</f>
        <v>Proj</v>
      </c>
      <c r="F47" s="165" t="str">
        <f aca="false">RIGHT(I47,4)&amp;"01"</f>
        <v>202501</v>
      </c>
      <c r="G47" s="439" t="str">
        <f aca="false">IF(_xlfn.NUMBERVALUE(RIGHT(I47,4))='Research Grant'!$D$31,RIGHT(I47,4)&amp;'Research Grant'!$E$31,RIGHT(I47,4)&amp;"12")</f>
        <v>202512</v>
      </c>
      <c r="H47" s="168" t="n">
        <f aca="false">'Research Grant'!L98</f>
        <v>0</v>
      </c>
      <c r="I47" s="165" t="str">
        <f aca="false">IF(OR('Research Grant'!$D$30="",'Research Grant'!$E$30=""),"",IF('Research Grant'!$D$33="","","Budget "&amp;'Research Grant'!$D$33&amp;" "&amp;'Research Grant'!H$40+2))</f>
        <v>Budget Proj 2025</v>
      </c>
      <c r="J47" s="430"/>
    </row>
    <row r="48" customFormat="false" ht="14.25" hidden="false" customHeight="false" outlineLevel="0" collapsed="false">
      <c r="B48" s="148"/>
      <c r="C48" s="438" t="s">
        <v>131</v>
      </c>
      <c r="D48" s="166" t="n">
        <v>5797</v>
      </c>
      <c r="E48" s="166" t="str">
        <f aca="false">IF('Research Grant'!$D$33="","Ange projektnummer",'Research Grant'!$D$33)</f>
        <v>Proj</v>
      </c>
      <c r="F48" s="165" t="str">
        <f aca="false">RIGHT(I48,4)&amp;"01"</f>
        <v>202501</v>
      </c>
      <c r="G48" s="439" t="str">
        <f aca="false">IF(_xlfn.NUMBERVALUE(RIGHT(I48,4))='Research Grant'!$D$31,RIGHT(I48,4)&amp;'Research Grant'!$E$31,RIGHT(I48,4)&amp;"12")</f>
        <v>202512</v>
      </c>
      <c r="H48" s="168" t="n">
        <f aca="false">'Research Grant'!L114</f>
        <v>0</v>
      </c>
      <c r="I48" s="165" t="str">
        <f aca="false">IF(OR('Research Grant'!$D$30="",'Research Grant'!$E$30=""),"",IF('Research Grant'!$D$33="","","Budget "&amp;'Research Grant'!$D$33&amp;" "&amp;'Research Grant'!H$40+2))</f>
        <v>Budget Proj 2025</v>
      </c>
      <c r="J48" s="430"/>
    </row>
    <row r="49" customFormat="false" ht="14.25" hidden="false" customHeight="false" outlineLevel="0" collapsed="false">
      <c r="B49" s="148"/>
      <c r="C49" s="438" t="s">
        <v>132</v>
      </c>
      <c r="D49" s="166" t="n">
        <v>57849</v>
      </c>
      <c r="E49" s="166" t="str">
        <f aca="false">IF('Research Grant'!$D$33="","Ange projektnummer",'Research Grant'!$D$33)</f>
        <v>Proj</v>
      </c>
      <c r="F49" s="165" t="str">
        <f aca="false">RIGHT(I49,4)&amp;"01"</f>
        <v>202501</v>
      </c>
      <c r="G49" s="439" t="str">
        <f aca="false">IF(_xlfn.NUMBERVALUE(RIGHT(I49,4))='Research Grant'!$D$31,RIGHT(I49,4)&amp;'Research Grant'!$E$31,RIGHT(I49,4)&amp;"12")</f>
        <v>202512</v>
      </c>
      <c r="H49" s="168" t="n">
        <f aca="false">SUM('Research Grant'!M$131:M133)</f>
        <v>0</v>
      </c>
      <c r="I49" s="165" t="str">
        <f aca="false">IF(OR('Research Grant'!$D$30="",'Research Grant'!$E$30=""),"",IF('Research Grant'!$D$33="","","Budget "&amp;'Research Grant'!$D$33&amp;" "&amp;'Research Grant'!H$40+2))</f>
        <v>Budget Proj 2025</v>
      </c>
      <c r="J49" s="430"/>
    </row>
    <row r="50" customFormat="false" ht="14.25" hidden="false" customHeight="false" outlineLevel="0" collapsed="false">
      <c r="B50" s="148"/>
      <c r="C50" s="438" t="s">
        <v>133</v>
      </c>
      <c r="D50" s="170" t="n">
        <v>6911</v>
      </c>
      <c r="E50" s="166" t="str">
        <f aca="false">IF('Research Grant'!$D$33="","Ange projektnummer",'Research Grant'!$D$33)</f>
        <v>Proj</v>
      </c>
      <c r="F50" s="165" t="str">
        <f aca="false">RIGHT(I50,4)&amp;"01"</f>
        <v>202501</v>
      </c>
      <c r="G50" s="439" t="str">
        <f aca="false">IF(_xlfn.NUMBERVALUE(RIGHT(I50,4))='Research Grant'!$D$31,RIGHT(I50,4)&amp;'Research Grant'!$E$31,RIGHT(I50,4)&amp;"12")</f>
        <v>202512</v>
      </c>
      <c r="H50" s="168" t="n">
        <f aca="false">SUM('Research Grant'!M$120:M121)</f>
        <v>0</v>
      </c>
      <c r="I50" s="165" t="str">
        <f aca="false">IF(OR('Research Grant'!$D$30="",'Research Grant'!$E$30=""),"",IF('Research Grant'!$D$33="","","Budget "&amp;'Research Grant'!$D$33&amp;" "&amp;'Research Grant'!H$40+2))</f>
        <v>Budget Proj 2025</v>
      </c>
      <c r="J50" s="430"/>
    </row>
    <row r="51" customFormat="false" ht="14.25" hidden="false" customHeight="false" outlineLevel="0" collapsed="false">
      <c r="B51" s="148"/>
      <c r="C51" s="438" t="s">
        <v>271</v>
      </c>
      <c r="D51" s="166" t="n">
        <v>3511</v>
      </c>
      <c r="E51" s="166" t="str">
        <f aca="false">IF('Research Grant'!$D$33="","Ange projektnummer",'Research Grant'!$D$33)</f>
        <v>Proj</v>
      </c>
      <c r="F51" s="165" t="str">
        <f aca="false">RIGHT(I51,4)&amp;"01"</f>
        <v>202601</v>
      </c>
      <c r="G51" s="439" t="str">
        <f aca="false">IF(_xlfn.NUMBERVALUE(RIGHT(I51,4))='Research Grant'!$D$31,RIGHT(I51,4)&amp;'Research Grant'!$E$31,RIGHT(I51,4)&amp;"12")</f>
        <v>202612</v>
      </c>
      <c r="H51" s="168" t="n">
        <f aca="false">'Research Grant'!N$159*-1</f>
        <v>0</v>
      </c>
      <c r="I51" s="165" t="str">
        <f aca="false">IF(OR('Research Grant'!$D$30="",'Research Grant'!$E$30=""),"",IF('Research Grant'!$D$33="","","Budget "&amp;'Research Grant'!$D$33&amp;" "&amp;'Research Grant'!H$40+3))</f>
        <v>Budget Proj 2026</v>
      </c>
      <c r="J51" s="430"/>
    </row>
    <row r="52" customFormat="false" ht="14.25" hidden="false" customHeight="false" outlineLevel="0" collapsed="false">
      <c r="B52" s="148"/>
      <c r="C52" s="438" t="s">
        <v>25</v>
      </c>
      <c r="D52" s="166" t="n">
        <v>4011</v>
      </c>
      <c r="E52" s="166" t="str">
        <f aca="false">IF('Research Grant'!$D$33="","Ange projektnummer",'Research Grant'!$D$33)</f>
        <v>Proj</v>
      </c>
      <c r="F52" s="165" t="str">
        <f aca="false">RIGHT(I52,4)&amp;"01"</f>
        <v>202601</v>
      </c>
      <c r="G52" s="439" t="str">
        <f aca="false">IF(_xlfn.NUMBERVALUE(RIGHT(I52,4))='Research Grant'!$D$31,RIGHT(I52,4)&amp;'Research Grant'!$E$31,RIGHT(I52,4)&amp;"12")</f>
        <v>202612</v>
      </c>
      <c r="H52" s="168" t="n">
        <f aca="false">'Research Grant'!N$86</f>
        <v>0</v>
      </c>
      <c r="I52" s="165" t="str">
        <f aca="false">IF(OR('Research Grant'!$D$30="",'Research Grant'!$E$30=""),"",IF('Research Grant'!$D$33="","","Budget "&amp;'Research Grant'!$D$33&amp;" "&amp;'Research Grant'!H$40+3))</f>
        <v>Budget Proj 2026</v>
      </c>
      <c r="J52" s="430"/>
    </row>
    <row r="53" customFormat="false" ht="14.25" hidden="false" customHeight="false" outlineLevel="0" collapsed="false">
      <c r="B53" s="148"/>
      <c r="C53" s="438" t="s">
        <v>128</v>
      </c>
      <c r="D53" s="166" t="n">
        <v>49988</v>
      </c>
      <c r="E53" s="166" t="str">
        <f aca="false">IF('Research Grant'!$D$33="","Ange projektnummer",'Research Grant'!$D$33)</f>
        <v>Proj</v>
      </c>
      <c r="F53" s="165" t="str">
        <f aca="false">RIGHT(I53,4)&amp;"01"</f>
        <v>202601</v>
      </c>
      <c r="G53" s="439" t="str">
        <f aca="false">IF(_xlfn.NUMBERVALUE(RIGHT(I53,4))='Research Grant'!$D$31,RIGHT(I53,4)&amp;'Research Grant'!$E$31,RIGHT(I53,4)&amp;"12")</f>
        <v>202612</v>
      </c>
      <c r="H53" s="168" t="n">
        <f aca="false">'Research Grant'!N$145</f>
        <v>0</v>
      </c>
      <c r="I53" s="165" t="str">
        <f aca="false">IF(OR('Research Grant'!$D$30="",'Research Grant'!$E$30=""),"",IF('Research Grant'!$D$33="","","Budget "&amp;'Research Grant'!$D$33&amp;" "&amp;'Research Grant'!H$40+3))</f>
        <v>Budget Proj 2026</v>
      </c>
      <c r="J53" s="430"/>
    </row>
    <row r="54" customFormat="false" ht="14.25" hidden="false" customHeight="false" outlineLevel="0" collapsed="false">
      <c r="B54" s="148"/>
      <c r="C54" s="438" t="s">
        <v>129</v>
      </c>
      <c r="D54" s="166" t="n">
        <v>50111</v>
      </c>
      <c r="E54" s="166" t="str">
        <f aca="false">IF('Research Grant'!$D$33="","Ange projektnummer",'Research Grant'!$D$33)</f>
        <v>Proj</v>
      </c>
      <c r="F54" s="165" t="str">
        <f aca="false">RIGHT(I54,4)&amp;"01"</f>
        <v>202601</v>
      </c>
      <c r="G54" s="439" t="str">
        <f aca="false">IF(_xlfn.NUMBERVALUE(RIGHT(I54,4))='Research Grant'!$D$31,RIGHT(I54,4)&amp;'Research Grant'!$E$31,RIGHT(I54,4)&amp;"12")</f>
        <v>202612</v>
      </c>
      <c r="H54" s="168" t="n">
        <f aca="false">SUM('Research Grant'!O$125:O127)</f>
        <v>0</v>
      </c>
      <c r="I54" s="165" t="str">
        <f aca="false">IF(OR('Research Grant'!$D$30="",'Research Grant'!$E$30=""),"",IF('Research Grant'!$D$33="","","Budget "&amp;'Research Grant'!$D$33&amp;" "&amp;'Research Grant'!H$40+3))</f>
        <v>Budget Proj 2026</v>
      </c>
      <c r="J54" s="430"/>
    </row>
    <row r="55" customFormat="false" ht="14.25" hidden="false" customHeight="false" outlineLevel="0" collapsed="false">
      <c r="B55" s="148"/>
      <c r="C55" s="438" t="s">
        <v>130</v>
      </c>
      <c r="D55" s="166" t="n">
        <v>5522</v>
      </c>
      <c r="E55" s="166" t="str">
        <f aca="false">IF('Research Grant'!$D$33="","Ange projektnummer",'Research Grant'!$D$33)</f>
        <v>Proj</v>
      </c>
      <c r="F55" s="165" t="str">
        <f aca="false">RIGHT(I55,4)&amp;"01"</f>
        <v>202601</v>
      </c>
      <c r="G55" s="439" t="str">
        <f aca="false">IF(_xlfn.NUMBERVALUE(RIGHT(I55,4))='Research Grant'!$D$31,RIGHT(I55,4)&amp;'Research Grant'!$E$31,RIGHT(I55,4)&amp;"12")</f>
        <v>202612</v>
      </c>
      <c r="H55" s="168" t="n">
        <f aca="false">'Research Grant'!N98</f>
        <v>0</v>
      </c>
      <c r="I55" s="165" t="str">
        <f aca="false">IF(OR('Research Grant'!$D$30="",'Research Grant'!$E$30=""),"",IF('Research Grant'!$D$33="","","Budget "&amp;'Research Grant'!$D$33&amp;" "&amp;'Research Grant'!H$40+3))</f>
        <v>Budget Proj 2026</v>
      </c>
      <c r="J55" s="430"/>
    </row>
    <row r="56" customFormat="false" ht="14.25" hidden="false" customHeight="false" outlineLevel="0" collapsed="false">
      <c r="B56" s="148"/>
      <c r="C56" s="438" t="s">
        <v>131</v>
      </c>
      <c r="D56" s="166" t="n">
        <v>5797</v>
      </c>
      <c r="E56" s="166" t="str">
        <f aca="false">IF('Research Grant'!$D$33="","Ange projektnummer",'Research Grant'!$D$33)</f>
        <v>Proj</v>
      </c>
      <c r="F56" s="165" t="str">
        <f aca="false">RIGHT(I56,4)&amp;"01"</f>
        <v>202601</v>
      </c>
      <c r="G56" s="439" t="str">
        <f aca="false">IF(_xlfn.NUMBERVALUE(RIGHT(I56,4))='Research Grant'!$D$31,RIGHT(I56,4)&amp;'Research Grant'!$E$31,RIGHT(I56,4)&amp;"12")</f>
        <v>202612</v>
      </c>
      <c r="H56" s="168" t="n">
        <f aca="false">'Research Grant'!N114</f>
        <v>0</v>
      </c>
      <c r="I56" s="165" t="str">
        <f aca="false">IF(OR('Research Grant'!$D$30="",'Research Grant'!$E$30=""),"",IF('Research Grant'!$D$33="","","Budget "&amp;'Research Grant'!$D$33&amp;" "&amp;'Research Grant'!H$40+3))</f>
        <v>Budget Proj 2026</v>
      </c>
      <c r="J56" s="430"/>
    </row>
    <row r="57" customFormat="false" ht="14.25" hidden="false" customHeight="false" outlineLevel="0" collapsed="false">
      <c r="B57" s="148"/>
      <c r="C57" s="438" t="s">
        <v>132</v>
      </c>
      <c r="D57" s="166" t="n">
        <v>57849</v>
      </c>
      <c r="E57" s="166" t="str">
        <f aca="false">IF('Research Grant'!$D$33="","Ange projektnummer",'Research Grant'!$D$33)</f>
        <v>Proj</v>
      </c>
      <c r="F57" s="165" t="str">
        <f aca="false">RIGHT(I57,4)&amp;"01"</f>
        <v>202601</v>
      </c>
      <c r="G57" s="439" t="str">
        <f aca="false">IF(_xlfn.NUMBERVALUE(RIGHT(I57,4))='Research Grant'!$D$31,RIGHT(I57,4)&amp;'Research Grant'!$E$31,RIGHT(I57,4)&amp;"12")</f>
        <v>202612</v>
      </c>
      <c r="H57" s="168" t="n">
        <f aca="false">SUM('Research Grant'!O$131:O133)</f>
        <v>0</v>
      </c>
      <c r="I57" s="165" t="str">
        <f aca="false">IF(OR('Research Grant'!$D$30="",'Research Grant'!$E$30=""),"",IF('Research Grant'!$D$33="","","Budget "&amp;'Research Grant'!$D$33&amp;" "&amp;'Research Grant'!H$40+3))</f>
        <v>Budget Proj 2026</v>
      </c>
      <c r="J57" s="430"/>
    </row>
    <row r="58" customFormat="false" ht="14.25" hidden="false" customHeight="false" outlineLevel="0" collapsed="false">
      <c r="B58" s="148"/>
      <c r="C58" s="438" t="s">
        <v>133</v>
      </c>
      <c r="D58" s="170" t="n">
        <v>6911</v>
      </c>
      <c r="E58" s="166" t="str">
        <f aca="false">IF('Research Grant'!$D$33="","Ange projektnummer",'Research Grant'!$D$33)</f>
        <v>Proj</v>
      </c>
      <c r="F58" s="165" t="str">
        <f aca="false">RIGHT(I58,4)&amp;"01"</f>
        <v>202601</v>
      </c>
      <c r="G58" s="439" t="str">
        <f aca="false">IF(_xlfn.NUMBERVALUE(RIGHT(I58,4))='Research Grant'!$D$31,RIGHT(I58,4)&amp;'Research Grant'!$E$31,RIGHT(I58,4)&amp;"12")</f>
        <v>202612</v>
      </c>
      <c r="H58" s="168" t="n">
        <f aca="false">SUM('Research Grant'!O$120:O121)</f>
        <v>0</v>
      </c>
      <c r="I58" s="165" t="str">
        <f aca="false">IF(OR('Research Grant'!$D$30="",'Research Grant'!$E$30=""),"",IF('Research Grant'!$D$33="","","Budget "&amp;'Research Grant'!$D$33&amp;" "&amp;'Research Grant'!H$40+3))</f>
        <v>Budget Proj 2026</v>
      </c>
      <c r="J58" s="430"/>
    </row>
    <row r="59" customFormat="false" ht="14.25" hidden="false" customHeight="false" outlineLevel="0" collapsed="false">
      <c r="B59" s="148"/>
      <c r="C59" s="438" t="s">
        <v>271</v>
      </c>
      <c r="D59" s="166" t="n">
        <v>3511</v>
      </c>
      <c r="E59" s="166" t="str">
        <f aca="false">IF('Research Grant'!$D$33="","Ange projektnummer",'Research Grant'!$D$33)</f>
        <v>Proj</v>
      </c>
      <c r="F59" s="165" t="str">
        <f aca="false">RIGHT(I59,4)&amp;"01"</f>
        <v>202701</v>
      </c>
      <c r="G59" s="439" t="str">
        <f aca="false">IF(_xlfn.NUMBERVALUE(RIGHT(I59,4))='Research Grant'!$D$31,RIGHT(I59,4)&amp;'Research Grant'!$E$31,RIGHT(I59,4)&amp;"12")</f>
        <v>202712</v>
      </c>
      <c r="H59" s="168" t="n">
        <f aca="false">'Research Grant'!P$159*-1</f>
        <v>0</v>
      </c>
      <c r="I59" s="165" t="str">
        <f aca="false">IF(OR('Research Grant'!$D$30="",'Research Grant'!$E$30=""),"",IF('Research Grant'!$D$33="","","Budget "&amp;'Research Grant'!$D$33&amp;" "&amp;'Research Grant'!H$40+4))</f>
        <v>Budget Proj 2027</v>
      </c>
      <c r="J59" s="430"/>
    </row>
    <row r="60" customFormat="false" ht="14.25" hidden="false" customHeight="false" outlineLevel="0" collapsed="false">
      <c r="B60" s="148"/>
      <c r="C60" s="438" t="s">
        <v>25</v>
      </c>
      <c r="D60" s="166" t="n">
        <v>4011</v>
      </c>
      <c r="E60" s="166" t="str">
        <f aca="false">IF('Research Grant'!$D$33="","Ange projektnummer",'Research Grant'!$D$33)</f>
        <v>Proj</v>
      </c>
      <c r="F60" s="165" t="str">
        <f aca="false">RIGHT(I60,4)&amp;"01"</f>
        <v>202701</v>
      </c>
      <c r="G60" s="439" t="str">
        <f aca="false">IF(_xlfn.NUMBERVALUE(RIGHT(I60,4))='Research Grant'!$D$31,RIGHT(I60,4)&amp;'Research Grant'!$E$31,RIGHT(I60,4)&amp;"12")</f>
        <v>202712</v>
      </c>
      <c r="H60" s="168" t="n">
        <f aca="false">'Research Grant'!P$86</f>
        <v>0</v>
      </c>
      <c r="I60" s="165" t="str">
        <f aca="false">IF(OR('Research Grant'!$D$30="",'Research Grant'!$E$30=""),"",IF('Research Grant'!$D$33="","","Budget "&amp;'Research Grant'!$D$33&amp;" "&amp;'Research Grant'!H$40+4))</f>
        <v>Budget Proj 2027</v>
      </c>
      <c r="J60" s="430"/>
    </row>
    <row r="61" customFormat="false" ht="14.25" hidden="false" customHeight="false" outlineLevel="0" collapsed="false">
      <c r="B61" s="148"/>
      <c r="C61" s="438" t="s">
        <v>128</v>
      </c>
      <c r="D61" s="166" t="n">
        <v>49988</v>
      </c>
      <c r="E61" s="166" t="str">
        <f aca="false">IF('Research Grant'!$D$33="","Ange projektnummer",'Research Grant'!$D$33)</f>
        <v>Proj</v>
      </c>
      <c r="F61" s="165" t="str">
        <f aca="false">RIGHT(I61,4)&amp;"01"</f>
        <v>202701</v>
      </c>
      <c r="G61" s="439" t="str">
        <f aca="false">IF(_xlfn.NUMBERVALUE(RIGHT(I61,4))='Research Grant'!$D$31,RIGHT(I61,4)&amp;'Research Grant'!$E$31,RIGHT(I61,4)&amp;"12")</f>
        <v>202712</v>
      </c>
      <c r="H61" s="168" t="n">
        <f aca="false">'Research Grant'!P$145</f>
        <v>0</v>
      </c>
      <c r="I61" s="165" t="str">
        <f aca="false">IF(OR('Research Grant'!$D$30="",'Research Grant'!$E$30=""),"",IF('Research Grant'!$D$33="","","Budget "&amp;'Research Grant'!$D$33&amp;" "&amp;'Research Grant'!H$40+4))</f>
        <v>Budget Proj 2027</v>
      </c>
      <c r="J61" s="430"/>
    </row>
    <row r="62" customFormat="false" ht="14.25" hidden="false" customHeight="false" outlineLevel="0" collapsed="false">
      <c r="B62" s="148"/>
      <c r="C62" s="438" t="s">
        <v>129</v>
      </c>
      <c r="D62" s="166" t="n">
        <v>50111</v>
      </c>
      <c r="E62" s="166" t="str">
        <f aca="false">IF('Research Grant'!$D$33="","Ange projektnummer",'Research Grant'!$D$33)</f>
        <v>Proj</v>
      </c>
      <c r="F62" s="165" t="str">
        <f aca="false">RIGHT(I62,4)&amp;"01"</f>
        <v>202701</v>
      </c>
      <c r="G62" s="439" t="str">
        <f aca="false">IF(_xlfn.NUMBERVALUE(RIGHT(I62,4))='Research Grant'!$D$31,RIGHT(I62,4)&amp;'Research Grant'!$E$31,RIGHT(I62,4)&amp;"12")</f>
        <v>202712</v>
      </c>
      <c r="H62" s="168" t="n">
        <f aca="false">SUM('Research Grant'!Q$125:Q127)</f>
        <v>0</v>
      </c>
      <c r="I62" s="165" t="str">
        <f aca="false">IF(OR('Research Grant'!$D$30="",'Research Grant'!$E$30=""),"",IF('Research Grant'!$D$33="","","Budget "&amp;'Research Grant'!$D$33&amp;" "&amp;'Research Grant'!H$40+4))</f>
        <v>Budget Proj 2027</v>
      </c>
      <c r="J62" s="430"/>
    </row>
    <row r="63" customFormat="false" ht="14.25" hidden="false" customHeight="false" outlineLevel="0" collapsed="false">
      <c r="B63" s="148"/>
      <c r="C63" s="438" t="s">
        <v>130</v>
      </c>
      <c r="D63" s="166" t="n">
        <v>5522</v>
      </c>
      <c r="E63" s="166" t="str">
        <f aca="false">IF('Research Grant'!$D$33="","Ange projektnummer",'Research Grant'!$D$33)</f>
        <v>Proj</v>
      </c>
      <c r="F63" s="165" t="str">
        <f aca="false">RIGHT(I63,4)&amp;"01"</f>
        <v>202701</v>
      </c>
      <c r="G63" s="439" t="str">
        <f aca="false">IF(_xlfn.NUMBERVALUE(RIGHT(I63,4))='Research Grant'!$D$31,RIGHT(I63,4)&amp;'Research Grant'!$E$31,RIGHT(I63,4)&amp;"12")</f>
        <v>202712</v>
      </c>
      <c r="H63" s="168" t="n">
        <f aca="false">'Research Grant'!P98</f>
        <v>0</v>
      </c>
      <c r="I63" s="165" t="str">
        <f aca="false">IF(OR('Research Grant'!$D$30="",'Research Grant'!$E$30=""),"",IF('Research Grant'!$D$33="","","Budget "&amp;'Research Grant'!$D$33&amp;" "&amp;'Research Grant'!H$40+4))</f>
        <v>Budget Proj 2027</v>
      </c>
      <c r="J63" s="430"/>
    </row>
    <row r="64" customFormat="false" ht="14.25" hidden="false" customHeight="false" outlineLevel="0" collapsed="false">
      <c r="B64" s="148"/>
      <c r="C64" s="438" t="s">
        <v>131</v>
      </c>
      <c r="D64" s="166" t="n">
        <v>5797</v>
      </c>
      <c r="E64" s="166" t="str">
        <f aca="false">IF('Research Grant'!$D$33="","Ange projektnummer",'Research Grant'!$D$33)</f>
        <v>Proj</v>
      </c>
      <c r="F64" s="165" t="str">
        <f aca="false">RIGHT(I64,4)&amp;"01"</f>
        <v>202701</v>
      </c>
      <c r="G64" s="439" t="str">
        <f aca="false">IF(_xlfn.NUMBERVALUE(RIGHT(I64,4))='Research Grant'!$D$31,RIGHT(I64,4)&amp;'Research Grant'!$E$31,RIGHT(I64,4)&amp;"12")</f>
        <v>202712</v>
      </c>
      <c r="H64" s="168" t="n">
        <f aca="false">'Research Grant'!P114</f>
        <v>0</v>
      </c>
      <c r="I64" s="165" t="str">
        <f aca="false">IF(OR('Research Grant'!$D$30="",'Research Grant'!$E$30=""),"",IF('Research Grant'!$D$33="","","Budget "&amp;'Research Grant'!$D$33&amp;" "&amp;'Research Grant'!H$40+4))</f>
        <v>Budget Proj 2027</v>
      </c>
      <c r="J64" s="430"/>
    </row>
    <row r="65" customFormat="false" ht="14.25" hidden="false" customHeight="false" outlineLevel="0" collapsed="false">
      <c r="B65" s="148"/>
      <c r="C65" s="438" t="s">
        <v>132</v>
      </c>
      <c r="D65" s="166" t="n">
        <v>57849</v>
      </c>
      <c r="E65" s="166" t="str">
        <f aca="false">IF('Research Grant'!$D$33="","Ange projektnummer",'Research Grant'!$D$33)</f>
        <v>Proj</v>
      </c>
      <c r="F65" s="165" t="str">
        <f aca="false">RIGHT(I65,4)&amp;"01"</f>
        <v>202701</v>
      </c>
      <c r="G65" s="439" t="str">
        <f aca="false">IF(_xlfn.NUMBERVALUE(RIGHT(I65,4))='Research Grant'!$D$31,RIGHT(I65,4)&amp;'Research Grant'!$E$31,RIGHT(I65,4)&amp;"12")</f>
        <v>202712</v>
      </c>
      <c r="H65" s="168" t="n">
        <f aca="false">SUM('Research Grant'!Q$131:Q133)</f>
        <v>0</v>
      </c>
      <c r="I65" s="165" t="str">
        <f aca="false">IF(OR('Research Grant'!$D$30="",'Research Grant'!$E$30=""),"",IF('Research Grant'!$D$33="","","Budget "&amp;'Research Grant'!$D$33&amp;" "&amp;'Research Grant'!H$40+4))</f>
        <v>Budget Proj 2027</v>
      </c>
      <c r="J65" s="430"/>
    </row>
    <row r="66" customFormat="false" ht="14.25" hidden="false" customHeight="false" outlineLevel="0" collapsed="false">
      <c r="B66" s="148"/>
      <c r="C66" s="438" t="s">
        <v>133</v>
      </c>
      <c r="D66" s="170" t="n">
        <v>6911</v>
      </c>
      <c r="E66" s="170" t="str">
        <f aca="false">IF('Research Grant'!$D$33="","Ange projektnummer",'Research Grant'!$D$33)</f>
        <v>Proj</v>
      </c>
      <c r="F66" s="169" t="str">
        <f aca="false">RIGHT(I66,4)&amp;"01"</f>
        <v>202701</v>
      </c>
      <c r="G66" s="439" t="str">
        <f aca="false">IF(_xlfn.NUMBERVALUE(RIGHT(I66,4))='Research Grant'!$D$31,RIGHT(I66,4)&amp;'Research Grant'!$E$31,RIGHT(I66,4)&amp;"12")</f>
        <v>202712</v>
      </c>
      <c r="H66" s="447" t="n">
        <f aca="false">SUM('Research Grant'!Q$120:Q121)</f>
        <v>0</v>
      </c>
      <c r="I66" s="165" t="str">
        <f aca="false">IF(OR('Research Grant'!$D$30="",'Research Grant'!$E$30=""),"",IF('Research Grant'!$D$33="","","Budget "&amp;'Research Grant'!$D$33&amp;" "&amp;'Research Grant'!H$40+4))</f>
        <v>Budget Proj 2027</v>
      </c>
      <c r="J66" s="430"/>
    </row>
    <row r="67" customFormat="false" ht="15" hidden="false" customHeight="false" outlineLevel="0" collapsed="false">
      <c r="B67" s="171"/>
      <c r="C67" s="118"/>
      <c r="D67" s="118"/>
      <c r="E67" s="448"/>
      <c r="F67" s="118"/>
      <c r="G67" s="172"/>
      <c r="H67" s="172"/>
      <c r="I67" s="172"/>
      <c r="J67" s="449"/>
    </row>
    <row r="68" customFormat="false" ht="15" hidden="false" customHeight="false" outlineLevel="0" collapsed="false">
      <c r="C68" s="6"/>
      <c r="D68" s="6"/>
      <c r="E68" s="6"/>
      <c r="F68" s="6"/>
      <c r="G68" s="7"/>
      <c r="H68" s="7"/>
      <c r="I68" s="7"/>
    </row>
    <row r="69" customFormat="false" ht="14.25" hidden="false" customHeight="false" outlineLevel="0" collapsed="false">
      <c r="C69" s="6"/>
      <c r="D69" s="6"/>
      <c r="E69" s="6"/>
      <c r="F69" s="6"/>
      <c r="G69" s="7"/>
      <c r="H69" s="7"/>
      <c r="I69" s="7"/>
    </row>
    <row r="70" customFormat="false" ht="14.25" hidden="false" customHeight="false" outlineLevel="0" collapsed="false">
      <c r="C70" s="6"/>
      <c r="D70" s="6"/>
      <c r="E70" s="6"/>
      <c r="F70" s="6"/>
      <c r="G70" s="7"/>
      <c r="H70" s="7"/>
      <c r="I70" s="7"/>
    </row>
    <row r="75" customFormat="false" ht="14.25" hidden="false" customHeight="false" outlineLevel="0" collapsed="false">
      <c r="D75" s="176"/>
    </row>
    <row r="76" customFormat="false" ht="14.25" hidden="false" customHeight="false" outlineLevel="0" collapsed="false">
      <c r="D76" s="176"/>
    </row>
    <row r="77" customFormat="false" ht="14.25" hidden="false" customHeight="false" outlineLevel="0" collapsed="false">
      <c r="C77" s="177"/>
      <c r="D77" s="177"/>
      <c r="E77" s="177"/>
      <c r="F77" s="177"/>
    </row>
    <row r="78" customFormat="false" ht="14.25" hidden="false" customHeight="false" outlineLevel="0" collapsed="false">
      <c r="D78" s="176"/>
    </row>
    <row r="80" customFormat="false" ht="14.25" hidden="false" customHeight="false" outlineLevel="0" collapsed="false">
      <c r="D80" s="176"/>
    </row>
  </sheetData>
  <mergeCells count="1">
    <mergeCell ref="B3:J9"/>
  </mergeCells>
  <printOptions headings="false" gridLines="false" gridLinesSet="true" horizontalCentered="false" verticalCentered="false"/>
  <pageMargins left="0.7" right="0.7" top="0.75" bottom="0.75" header="0.511805555555555" footer="0.511805555555555"/>
  <pageSetup paperSize="9" scale="61"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378"/>
  <sheetViews>
    <sheetView showFormulas="false" showGridLines="true" showRowColHeaders="true" showZeros="true" rightToLeft="false" tabSelected="false" showOutlineSymbols="true" defaultGridColor="true" view="normal" topLeftCell="A388" colorId="64" zoomScale="70" zoomScaleNormal="70" zoomScalePageLayoutView="100" workbookViewId="0">
      <selection pane="topLeft" activeCell="J423" activeCellId="0" sqref="J423"/>
    </sheetView>
  </sheetViews>
  <sheetFormatPr defaultColWidth="8.6015625" defaultRowHeight="14.25" zeroHeight="false" outlineLevelRow="0" outlineLevelCol="0"/>
  <cols>
    <col collapsed="false" customWidth="true" hidden="false" outlineLevel="0" max="2" min="2" style="1" width="19.38"/>
    <col collapsed="false" customWidth="true" hidden="false" outlineLevel="0" max="3" min="3" style="1" width="23.25"/>
    <col collapsed="false" customWidth="true" hidden="false" outlineLevel="0" max="7" min="7" style="1" width="8.88"/>
    <col collapsed="false" customWidth="true" hidden="false" outlineLevel="0" max="9" min="9" style="1" width="12.38"/>
    <col collapsed="false" customWidth="true" hidden="false" outlineLevel="0" max="10" min="10" style="1" width="13.63"/>
    <col collapsed="false" customWidth="true" hidden="false" outlineLevel="0" max="11" min="11" style="1" width="2.87"/>
    <col collapsed="false" customWidth="true" hidden="false" outlineLevel="0" max="12" min="12" style="1" width="30.75"/>
    <col collapsed="false" customWidth="true" hidden="false" outlineLevel="0" max="13" min="13" style="1" width="42.51"/>
    <col collapsed="false" customWidth="true" hidden="false" outlineLevel="0" max="14" min="14" style="1" width="18.74"/>
    <col collapsed="false" customWidth="true" hidden="false" outlineLevel="0" max="15" min="15" style="1" width="21.75"/>
    <col collapsed="false" customWidth="true" hidden="false" outlineLevel="0" max="16" min="16" style="1" width="19.27"/>
    <col collapsed="false" customWidth="true" hidden="false" outlineLevel="0" max="17" min="17" style="1" width="24.75"/>
    <col collapsed="false" customWidth="true" hidden="false" outlineLevel="0" max="18" min="18" style="1" width="20.38"/>
    <col collapsed="false" customWidth="true" hidden="false" outlineLevel="0" max="19" min="19" style="1" width="14.62"/>
    <col collapsed="false" customWidth="true" hidden="false" outlineLevel="0" max="20" min="20" style="1" width="16"/>
    <col collapsed="false" customWidth="true" hidden="false" outlineLevel="0" max="21" min="21" style="1" width="21.5"/>
  </cols>
  <sheetData>
    <row r="1" customFormat="false" ht="14.25" hidden="false" customHeight="false" outlineLevel="0" collapsed="false">
      <c r="A1" s="450" t="s">
        <v>273</v>
      </c>
      <c r="B1" s="450"/>
      <c r="C1" s="450"/>
      <c r="D1" s="450"/>
      <c r="E1" s="450"/>
      <c r="F1" s="450"/>
      <c r="G1" s="450"/>
      <c r="K1" s="451" t="s">
        <v>274</v>
      </c>
      <c r="L1" s="451"/>
      <c r="M1" s="451"/>
      <c r="N1" s="451"/>
      <c r="O1" s="451"/>
    </row>
    <row r="2" customFormat="false" ht="15" hidden="false" customHeight="false" outlineLevel="0" collapsed="false">
      <c r="A2" s="452" t="s">
        <v>121</v>
      </c>
      <c r="B2" s="452" t="s">
        <v>144</v>
      </c>
      <c r="C2" s="452" t="str">
        <f aca="false">A2&amp;" - "&amp;B2</f>
        <v>Inst - Namn</v>
      </c>
      <c r="D2" s="452" t="s">
        <v>275</v>
      </c>
      <c r="E2" s="452" t="s">
        <v>276</v>
      </c>
      <c r="F2" s="452" t="s">
        <v>277</v>
      </c>
      <c r="G2" s="452" t="s">
        <v>258</v>
      </c>
      <c r="K2" s="110"/>
      <c r="L2" s="110"/>
      <c r="M2" s="110" t="s">
        <v>278</v>
      </c>
      <c r="N2" s="110" t="s">
        <v>279</v>
      </c>
      <c r="O2" s="453" t="s">
        <v>280</v>
      </c>
      <c r="P2" s="110" t="s">
        <v>281</v>
      </c>
      <c r="Q2" s="453" t="s">
        <v>282</v>
      </c>
      <c r="R2" s="453" t="s">
        <v>283</v>
      </c>
      <c r="S2" s="110" t="s">
        <v>258</v>
      </c>
      <c r="T2" s="453" t="s">
        <v>284</v>
      </c>
      <c r="U2" s="453" t="s">
        <v>285</v>
      </c>
      <c r="V2" s="454"/>
      <c r="W2" s="453" t="s">
        <v>286</v>
      </c>
      <c r="X2" s="454"/>
    </row>
    <row r="3" customFormat="false" ht="15" hidden="false" customHeight="false" outlineLevel="0" collapsed="false">
      <c r="A3" s="64" t="s">
        <v>287</v>
      </c>
      <c r="B3" s="64" t="s">
        <v>288</v>
      </c>
      <c r="C3" s="64" t="str">
        <f aca="false">A3&amp;" - "&amp;B3</f>
        <v>C1 - MTC</v>
      </c>
      <c r="D3" s="455" t="n">
        <v>0.075</v>
      </c>
      <c r="E3" s="455"/>
      <c r="F3" s="455" t="n">
        <v>0.15</v>
      </c>
      <c r="G3" s="456" t="n">
        <f aca="false">SUM(D3:F3)</f>
        <v>0.225</v>
      </c>
      <c r="H3" s="5" t="n">
        <f aca="false">E3+F3</f>
        <v>0.15</v>
      </c>
      <c r="I3" s="457"/>
      <c r="K3" s="6" t="s">
        <v>287</v>
      </c>
      <c r="L3" s="6" t="s">
        <v>288</v>
      </c>
      <c r="M3" s="458" t="n">
        <v>196500</v>
      </c>
      <c r="N3" s="458" t="n">
        <f aca="false">M3*F3</f>
        <v>29475</v>
      </c>
      <c r="O3" s="459" t="n">
        <f aca="false">N3/$N$28</f>
        <v>0.0568818573052237</v>
      </c>
      <c r="P3" s="458" t="n">
        <v>0</v>
      </c>
      <c r="Q3" s="459" t="e">
        <f aca="false">P3/$P$28</f>
        <v>#DIV/0!</v>
      </c>
      <c r="R3" s="460" t="n">
        <f aca="false">D3*M3</f>
        <v>14737.5</v>
      </c>
      <c r="S3" s="458" t="n">
        <f aca="false">SUM(N3:P3)</f>
        <v>29475.0568818573</v>
      </c>
      <c r="T3" s="459" t="n">
        <f aca="false">S3/$S$28</f>
        <v>0.0568819670777662</v>
      </c>
      <c r="U3" s="461" t="n">
        <f aca="false">M3*0.146</f>
        <v>28689</v>
      </c>
      <c r="V3" s="462" t="n">
        <f aca="false">N3/M3</f>
        <v>0.15</v>
      </c>
      <c r="W3" s="461" t="n">
        <f aca="false">M3*0</f>
        <v>0</v>
      </c>
      <c r="X3" s="462" t="n">
        <f aca="false">P3/M3</f>
        <v>0</v>
      </c>
    </row>
    <row r="4" customFormat="false" ht="15" hidden="false" customHeight="false" outlineLevel="0" collapsed="false">
      <c r="A4" s="64" t="s">
        <v>289</v>
      </c>
      <c r="B4" s="64" t="s">
        <v>290</v>
      </c>
      <c r="C4" s="64" t="str">
        <f aca="false">A4&amp;" - "&amp;B4</f>
        <v>C2 - MBB</v>
      </c>
      <c r="D4" s="455" t="n">
        <v>0.059</v>
      </c>
      <c r="E4" s="455"/>
      <c r="F4" s="455" t="n">
        <v>0.15</v>
      </c>
      <c r="G4" s="456" t="n">
        <f aca="false">SUM(D4:F4)</f>
        <v>0.209</v>
      </c>
      <c r="H4" s="5" t="n">
        <f aca="false">E4+F4</f>
        <v>0.15</v>
      </c>
      <c r="I4" s="457"/>
      <c r="K4" s="6" t="s">
        <v>289</v>
      </c>
      <c r="L4" s="6" t="s">
        <v>290</v>
      </c>
      <c r="M4" s="458" t="n">
        <v>251000</v>
      </c>
      <c r="N4" s="458" t="n">
        <f aca="false">M4*F4</f>
        <v>37650</v>
      </c>
      <c r="O4" s="459" t="n">
        <f aca="false">N4/$N$28</f>
        <v>0.0726582502982755</v>
      </c>
      <c r="P4" s="458" t="n">
        <v>0</v>
      </c>
      <c r="Q4" s="459" t="e">
        <f aca="false">P4/$P$28</f>
        <v>#DIV/0!</v>
      </c>
      <c r="R4" s="460" t="n">
        <f aca="false">D4*M4</f>
        <v>14809</v>
      </c>
      <c r="S4" s="458" t="n">
        <f aca="false">SUM(N4:P4)</f>
        <v>37650.0726582503</v>
      </c>
      <c r="T4" s="459" t="n">
        <f aca="false">S4/$S$28</f>
        <v>0.0726583905166377</v>
      </c>
      <c r="U4" s="461" t="n">
        <f aca="false">M4*0.146</f>
        <v>36646</v>
      </c>
      <c r="V4" s="462" t="n">
        <f aca="false">N4/M4</f>
        <v>0.15</v>
      </c>
      <c r="W4" s="461" t="n">
        <f aca="false">M4*0</f>
        <v>0</v>
      </c>
      <c r="X4" s="462" t="n">
        <f aca="false">P4/M4</f>
        <v>0</v>
      </c>
    </row>
    <row r="5" customFormat="false" ht="15" hidden="false" customHeight="false" outlineLevel="0" collapsed="false">
      <c r="A5" s="64" t="s">
        <v>291</v>
      </c>
      <c r="B5" s="64" t="s">
        <v>292</v>
      </c>
      <c r="C5" s="64" t="str">
        <f aca="false">A5&amp;" - "&amp;B5</f>
        <v>C3 - FyFa</v>
      </c>
      <c r="D5" s="455" t="n">
        <v>0.075</v>
      </c>
      <c r="E5" s="455"/>
      <c r="F5" s="455" t="n">
        <v>0.15</v>
      </c>
      <c r="G5" s="456" t="n">
        <f aca="false">SUM(D5:F5)</f>
        <v>0.225</v>
      </c>
      <c r="H5" s="5" t="n">
        <f aca="false">E5+F5</f>
        <v>0.15</v>
      </c>
      <c r="I5" s="457"/>
      <c r="K5" s="6" t="s">
        <v>291</v>
      </c>
      <c r="L5" s="6" t="s">
        <v>292</v>
      </c>
      <c r="M5" s="458" t="n">
        <v>124200</v>
      </c>
      <c r="N5" s="458" t="n">
        <f aca="false">M5*F5</f>
        <v>18630</v>
      </c>
      <c r="O5" s="459" t="n">
        <f aca="false">N5/$N$28</f>
        <v>0.0359528075181108</v>
      </c>
      <c r="P5" s="458" t="n">
        <v>0</v>
      </c>
      <c r="Q5" s="459" t="e">
        <f aca="false">P5/$P$28</f>
        <v>#DIV/0!</v>
      </c>
      <c r="R5" s="460" t="n">
        <f aca="false">D5*M5</f>
        <v>9315</v>
      </c>
      <c r="S5" s="458" t="n">
        <f aca="false">SUM(N5:P5)</f>
        <v>18630.0359528075</v>
      </c>
      <c r="T5" s="459" t="n">
        <f aca="false">S5/$S$28</f>
        <v>0.0359528769010614</v>
      </c>
      <c r="U5" s="461" t="n">
        <f aca="false">M5*0.146</f>
        <v>18133.2</v>
      </c>
      <c r="V5" s="462" t="n">
        <f aca="false">N5/M5</f>
        <v>0.15</v>
      </c>
      <c r="W5" s="461" t="n">
        <f aca="false">M5*0</f>
        <v>0</v>
      </c>
      <c r="X5" s="462" t="n">
        <f aca="false">P5/M5</f>
        <v>0</v>
      </c>
    </row>
    <row r="6" customFormat="false" ht="15" hidden="false" customHeight="false" outlineLevel="0" collapsed="false">
      <c r="A6" s="64" t="s">
        <v>293</v>
      </c>
      <c r="B6" s="64" t="s">
        <v>294</v>
      </c>
      <c r="C6" s="64" t="str">
        <f aca="false">A6&amp;" - "&amp;B6</f>
        <v>C4 - Neuro</v>
      </c>
      <c r="D6" s="455" t="n">
        <v>0.075</v>
      </c>
      <c r="E6" s="455"/>
      <c r="F6" s="455" t="n">
        <v>0.15</v>
      </c>
      <c r="G6" s="456" t="n">
        <f aca="false">SUM(D6:F6)</f>
        <v>0.225</v>
      </c>
      <c r="H6" s="5" t="n">
        <f aca="false">E6+F6</f>
        <v>0.15</v>
      </c>
      <c r="I6" s="457"/>
      <c r="K6" s="6" t="s">
        <v>293</v>
      </c>
      <c r="L6" s="6" t="s">
        <v>294</v>
      </c>
      <c r="M6" s="458" t="n">
        <v>132500</v>
      </c>
      <c r="N6" s="458" t="n">
        <f aca="false">M6*F6</f>
        <v>19875</v>
      </c>
      <c r="O6" s="459" t="n">
        <f aca="false">N6/$N$28</f>
        <v>0.0383554508546674</v>
      </c>
      <c r="P6" s="458" t="n">
        <v>0</v>
      </c>
      <c r="Q6" s="459" t="e">
        <f aca="false">P6/$P$28</f>
        <v>#DIV/0!</v>
      </c>
      <c r="R6" s="460" t="n">
        <f aca="false">D6*M6</f>
        <v>9937.5</v>
      </c>
      <c r="S6" s="458" t="n">
        <f aca="false">SUM(N6:P6)</f>
        <v>19875.0383554509</v>
      </c>
      <c r="T6" s="459" t="n">
        <f aca="false">S6/$S$28</f>
        <v>0.0383555248743207</v>
      </c>
      <c r="U6" s="461" t="n">
        <f aca="false">M6*0.146</f>
        <v>19345</v>
      </c>
      <c r="V6" s="462" t="n">
        <f aca="false">N6/M6</f>
        <v>0.15</v>
      </c>
      <c r="W6" s="461" t="n">
        <f aca="false">M6*0</f>
        <v>0</v>
      </c>
      <c r="X6" s="462" t="n">
        <f aca="false">P6/M6</f>
        <v>0</v>
      </c>
    </row>
    <row r="7" customFormat="false" ht="15" hidden="false" customHeight="false" outlineLevel="0" collapsed="false">
      <c r="A7" s="64" t="s">
        <v>295</v>
      </c>
      <c r="B7" s="64" t="s">
        <v>296</v>
      </c>
      <c r="C7" s="64" t="str">
        <f aca="false">A7&amp;" - "&amp;B7</f>
        <v>C5 - CMB</v>
      </c>
      <c r="D7" s="455" t="n">
        <v>0.075</v>
      </c>
      <c r="E7" s="455"/>
      <c r="F7" s="455" t="n">
        <v>0.15</v>
      </c>
      <c r="G7" s="456" t="n">
        <f aca="false">SUM(D7:F7)</f>
        <v>0.225</v>
      </c>
      <c r="H7" s="5" t="n">
        <f aca="false">E7+F7</f>
        <v>0.15</v>
      </c>
      <c r="I7" s="457"/>
      <c r="K7" s="6" t="s">
        <v>295</v>
      </c>
      <c r="L7" s="6" t="s">
        <v>296</v>
      </c>
      <c r="M7" s="458" t="n">
        <v>156050</v>
      </c>
      <c r="N7" s="458" t="n">
        <f aca="false">M7*F7</f>
        <v>23407.5</v>
      </c>
      <c r="O7" s="459" t="n">
        <f aca="false">N7/$N$28</f>
        <v>0.0451725894782705</v>
      </c>
      <c r="P7" s="458" t="n">
        <v>0</v>
      </c>
      <c r="Q7" s="459" t="e">
        <f aca="false">P7/$P$28</f>
        <v>#DIV/0!</v>
      </c>
      <c r="R7" s="460" t="n">
        <f aca="false">D7*M7</f>
        <v>11703.75</v>
      </c>
      <c r="S7" s="458" t="n">
        <f aca="false">SUM(N7:P7)</f>
        <v>23407.5451725895</v>
      </c>
      <c r="T7" s="459" t="n">
        <f aca="false">S7/$S$28</f>
        <v>0.0451726766538698</v>
      </c>
      <c r="U7" s="461" t="n">
        <f aca="false">M7*0.146</f>
        <v>22783.3</v>
      </c>
      <c r="V7" s="462" t="n">
        <f aca="false">N7/M7</f>
        <v>0.15</v>
      </c>
      <c r="W7" s="461" t="n">
        <f aca="false">M7*0</f>
        <v>0</v>
      </c>
      <c r="X7" s="462" t="n">
        <f aca="false">P7/M7</f>
        <v>0</v>
      </c>
    </row>
    <row r="8" customFormat="false" ht="15" hidden="false" customHeight="false" outlineLevel="0" collapsed="false">
      <c r="A8" s="64" t="s">
        <v>297</v>
      </c>
      <c r="B8" s="64" t="s">
        <v>298</v>
      </c>
      <c r="C8" s="64" t="str">
        <f aca="false">A8&amp;" - "&amp;B8</f>
        <v>C6 - IMM</v>
      </c>
      <c r="D8" s="455" t="n">
        <v>0.0776</v>
      </c>
      <c r="E8" s="455"/>
      <c r="F8" s="455" t="n">
        <v>0.15</v>
      </c>
      <c r="G8" s="456" t="n">
        <f aca="false">SUM(D8:F8)</f>
        <v>0.2276</v>
      </c>
      <c r="H8" s="5" t="n">
        <f aca="false">E8+F8</f>
        <v>0.15</v>
      </c>
      <c r="I8" s="457"/>
      <c r="K8" s="6" t="s">
        <v>297</v>
      </c>
      <c r="L8" s="6" t="s">
        <v>298</v>
      </c>
      <c r="M8" s="458" t="n">
        <v>161000</v>
      </c>
      <c r="N8" s="458" t="n">
        <f aca="false">M8*F8</f>
        <v>24150</v>
      </c>
      <c r="O8" s="459" t="n">
        <f aca="false">N8/$N$28</f>
        <v>0.0466054912271807</v>
      </c>
      <c r="P8" s="458" t="n">
        <v>0</v>
      </c>
      <c r="Q8" s="459" t="e">
        <f aca="false">P8/$P$28</f>
        <v>#DIV/0!</v>
      </c>
      <c r="R8" s="460" t="n">
        <f aca="false">D8*M8</f>
        <v>12493.6</v>
      </c>
      <c r="S8" s="458" t="n">
        <f aca="false">SUM(N8:P8)</f>
        <v>24150.0466054912</v>
      </c>
      <c r="T8" s="459" t="n">
        <f aca="false">S8/$S$28</f>
        <v>0.0466055811680425</v>
      </c>
      <c r="U8" s="461" t="n">
        <f aca="false">M8*0.146</f>
        <v>23506</v>
      </c>
      <c r="V8" s="462" t="n">
        <f aca="false">N8/M8</f>
        <v>0.15</v>
      </c>
      <c r="W8" s="461" t="n">
        <f aca="false">M8*0</f>
        <v>0</v>
      </c>
      <c r="X8" s="462" t="n">
        <f aca="false">P8/M8</f>
        <v>0</v>
      </c>
    </row>
    <row r="9" customFormat="false" ht="15" hidden="false" customHeight="false" outlineLevel="0" collapsed="false">
      <c r="A9" s="64" t="s">
        <v>299</v>
      </c>
      <c r="B9" s="64" t="s">
        <v>300</v>
      </c>
      <c r="C9" s="64" t="str">
        <f aca="false">A9&amp;" - "&amp;B9</f>
        <v>C7 - LIME</v>
      </c>
      <c r="D9" s="455" t="n">
        <v>0.129</v>
      </c>
      <c r="E9" s="455"/>
      <c r="F9" s="455" t="n">
        <v>0.15</v>
      </c>
      <c r="G9" s="456" t="n">
        <f aca="false">SUM(D9:F9)</f>
        <v>0.279</v>
      </c>
      <c r="H9" s="5" t="n">
        <f aca="false">E9+F9</f>
        <v>0.15</v>
      </c>
      <c r="I9" s="457"/>
      <c r="K9" s="6" t="s">
        <v>299</v>
      </c>
      <c r="L9" s="6" t="s">
        <v>300</v>
      </c>
      <c r="M9" s="458" t="n">
        <v>53618</v>
      </c>
      <c r="N9" s="458" t="n">
        <f aca="false">M9*F9</f>
        <v>8042.7</v>
      </c>
      <c r="O9" s="459" t="n">
        <f aca="false">N9/$N$28</f>
        <v>0.0155210759541551</v>
      </c>
      <c r="P9" s="458" t="n">
        <v>0</v>
      </c>
      <c r="Q9" s="459" t="e">
        <f aca="false">P9/$P$28</f>
        <v>#DIV/0!</v>
      </c>
      <c r="R9" s="460" t="n">
        <f aca="false">D9*M9</f>
        <v>6916.722</v>
      </c>
      <c r="S9" s="458" t="n">
        <f aca="false">SUM(N9:P9)</f>
        <v>8042.71552107595</v>
      </c>
      <c r="T9" s="459" t="n">
        <f aca="false">S9/$S$28</f>
        <v>0.0155211059072553</v>
      </c>
      <c r="U9" s="461" t="n">
        <f aca="false">M9*0.146</f>
        <v>7828.228</v>
      </c>
      <c r="V9" s="462" t="n">
        <f aca="false">N9/M9</f>
        <v>0.15</v>
      </c>
      <c r="W9" s="461" t="n">
        <f aca="false">M9*0</f>
        <v>0</v>
      </c>
      <c r="X9" s="462" t="n">
        <f aca="false">P9/M9</f>
        <v>0</v>
      </c>
    </row>
    <row r="10" customFormat="false" ht="15" hidden="false" customHeight="false" outlineLevel="0" collapsed="false">
      <c r="A10" s="64" t="s">
        <v>301</v>
      </c>
      <c r="B10" s="64" t="s">
        <v>302</v>
      </c>
      <c r="C10" s="64" t="str">
        <f aca="false">A10&amp;" - "&amp;B10</f>
        <v>C8 - MEB</v>
      </c>
      <c r="D10" s="455" t="n">
        <v>0.1145</v>
      </c>
      <c r="E10" s="455"/>
      <c r="F10" s="455" t="n">
        <v>0.15</v>
      </c>
      <c r="G10" s="456" t="n">
        <f aca="false">SUM(D10:F10)</f>
        <v>0.2645</v>
      </c>
      <c r="H10" s="5" t="n">
        <f aca="false">E10+F10</f>
        <v>0.15</v>
      </c>
      <c r="I10" s="457"/>
      <c r="K10" s="6" t="s">
        <v>301</v>
      </c>
      <c r="L10" s="6" t="s">
        <v>302</v>
      </c>
      <c r="M10" s="458" t="n">
        <v>205500</v>
      </c>
      <c r="N10" s="458" t="n">
        <f aca="false">M10*F10</f>
        <v>30825</v>
      </c>
      <c r="O10" s="459" t="n">
        <f aca="false">N10/$N$28</f>
        <v>0.0594871332123332</v>
      </c>
      <c r="P10" s="458" t="n">
        <v>0</v>
      </c>
      <c r="Q10" s="459" t="e">
        <f aca="false">P10/$P$28</f>
        <v>#DIV/0!</v>
      </c>
      <c r="R10" s="460" t="n">
        <f aca="false">D10*M10</f>
        <v>23529.75</v>
      </c>
      <c r="S10" s="458" t="n">
        <f aca="false">SUM(N10:P10)</f>
        <v>30825.0594871332</v>
      </c>
      <c r="T10" s="459" t="n">
        <f aca="false">S10/$S$28</f>
        <v>0.0594872480126257</v>
      </c>
      <c r="U10" s="461" t="n">
        <f aca="false">M10*0.146</f>
        <v>30003</v>
      </c>
      <c r="V10" s="462" t="n">
        <f aca="false">N10/M10</f>
        <v>0.15</v>
      </c>
      <c r="W10" s="461" t="n">
        <f aca="false">M10*0</f>
        <v>0</v>
      </c>
      <c r="X10" s="462" t="n">
        <f aca="false">P10/M10</f>
        <v>0</v>
      </c>
    </row>
    <row r="11" customFormat="false" ht="15" hidden="false" customHeight="false" outlineLevel="0" collapsed="false">
      <c r="A11" s="64" t="s">
        <v>303</v>
      </c>
      <c r="B11" s="64" t="s">
        <v>304</v>
      </c>
      <c r="C11" s="64" t="str">
        <f aca="false">A11&amp;" - "&amp;B11</f>
        <v>CC - KM</v>
      </c>
      <c r="D11" s="455" t="n">
        <v>0.1</v>
      </c>
      <c r="E11" s="455"/>
      <c r="F11" s="455" t="n">
        <v>0.15</v>
      </c>
      <c r="G11" s="456" t="n">
        <f aca="false">SUM(D11:F11)</f>
        <v>0.25</v>
      </c>
      <c r="H11" s="5" t="n">
        <f aca="false">E11+F11</f>
        <v>0.15</v>
      </c>
      <c r="I11" s="457"/>
      <c r="K11" s="6" t="s">
        <v>303</v>
      </c>
      <c r="L11" s="6" t="s">
        <v>304</v>
      </c>
      <c r="M11" s="458" t="n">
        <v>83240</v>
      </c>
      <c r="N11" s="458" t="n">
        <f aca="false">M11*F11</f>
        <v>12486</v>
      </c>
      <c r="O11" s="459" t="n">
        <f aca="false">N11/$N$28</f>
        <v>0.0240959073897548</v>
      </c>
      <c r="P11" s="458" t="n">
        <v>0</v>
      </c>
      <c r="Q11" s="459" t="e">
        <f aca="false">P11/$P$28</f>
        <v>#DIV/0!</v>
      </c>
      <c r="R11" s="460" t="n">
        <f aca="false">D11*M11</f>
        <v>8324</v>
      </c>
      <c r="S11" s="458" t="n">
        <f aca="false">SUM(N11:P11)</f>
        <v>12486.0240959074</v>
      </c>
      <c r="T11" s="459" t="n">
        <f aca="false">S11/$S$28</f>
        <v>0.0240959538908563</v>
      </c>
      <c r="U11" s="461" t="n">
        <f aca="false">M11*0.146</f>
        <v>12153.04</v>
      </c>
      <c r="V11" s="462" t="n">
        <f aca="false">N11/M11</f>
        <v>0.15</v>
      </c>
      <c r="W11" s="461" t="n">
        <f aca="false">M11*0</f>
        <v>0</v>
      </c>
      <c r="X11" s="462" t="n">
        <f aca="false">P11/M11</f>
        <v>0</v>
      </c>
    </row>
    <row r="12" customFormat="false" ht="15" hidden="false" customHeight="false" outlineLevel="0" collapsed="false">
      <c r="A12" s="64" t="s">
        <v>305</v>
      </c>
      <c r="B12" s="64" t="s">
        <v>306</v>
      </c>
      <c r="C12" s="64" t="str">
        <f aca="false">A12&amp;" - "&amp;B12</f>
        <v>D1 - KIDS</v>
      </c>
      <c r="D12" s="455" t="n">
        <v>0.0849</v>
      </c>
      <c r="E12" s="455"/>
      <c r="F12" s="455" t="n">
        <v>0.15</v>
      </c>
      <c r="G12" s="456" t="n">
        <f aca="false">SUM(D12:F12)</f>
        <v>0.2349</v>
      </c>
      <c r="H12" s="5" t="n">
        <f aca="false">E12+F12</f>
        <v>0.15</v>
      </c>
      <c r="I12" s="457"/>
      <c r="K12" s="6" t="s">
        <v>305</v>
      </c>
      <c r="L12" s="6" t="s">
        <v>306</v>
      </c>
      <c r="M12" s="458" t="n">
        <v>39755</v>
      </c>
      <c r="N12" s="458" t="n">
        <f aca="false">M12*F12</f>
        <v>5963.25</v>
      </c>
      <c r="O12" s="459" t="n">
        <f aca="false">N12/$N$28</f>
        <v>0.0115080826319042</v>
      </c>
      <c r="P12" s="458" t="n">
        <v>0</v>
      </c>
      <c r="Q12" s="459" t="e">
        <f aca="false">P12/$P$28</f>
        <v>#DIV/0!</v>
      </c>
      <c r="R12" s="460" t="n">
        <f aca="false">D12*M12</f>
        <v>3375.1995</v>
      </c>
      <c r="S12" s="458" t="n">
        <f aca="false">SUM(N12:P12)</f>
        <v>5963.26150808263</v>
      </c>
      <c r="T12" s="459" t="n">
        <f aca="false">S12/$S$28</f>
        <v>0.0115081048405934</v>
      </c>
      <c r="U12" s="461" t="n">
        <f aca="false">M12*0.146</f>
        <v>5804.23</v>
      </c>
      <c r="V12" s="462" t="n">
        <f aca="false">N12/M12</f>
        <v>0.15</v>
      </c>
      <c r="W12" s="461" t="n">
        <f aca="false">M12*0</f>
        <v>0</v>
      </c>
      <c r="X12" s="462" t="n">
        <f aca="false">P12/M12</f>
        <v>0</v>
      </c>
    </row>
    <row r="13" customFormat="false" ht="15" hidden="false" customHeight="false" outlineLevel="0" collapsed="false">
      <c r="A13" s="64" t="s">
        <v>307</v>
      </c>
      <c r="B13" s="64" t="s">
        <v>308</v>
      </c>
      <c r="C13" s="64" t="str">
        <f aca="false">A13&amp;" - "&amp;B13</f>
        <v>H1 - NVS</v>
      </c>
      <c r="D13" s="455" t="n">
        <v>0.08</v>
      </c>
      <c r="E13" s="455"/>
      <c r="F13" s="455" t="n">
        <v>0.15</v>
      </c>
      <c r="G13" s="456" t="n">
        <f aca="false">SUM(D13:F13)</f>
        <v>0.23</v>
      </c>
      <c r="H13" s="5" t="n">
        <f aca="false">E13+F13</f>
        <v>0.15</v>
      </c>
      <c r="I13" s="457"/>
      <c r="K13" s="6" t="s">
        <v>307</v>
      </c>
      <c r="L13" s="6" t="s">
        <v>308</v>
      </c>
      <c r="M13" s="458" t="n">
        <v>198000</v>
      </c>
      <c r="N13" s="458" t="n">
        <f aca="false">M13*F13</f>
        <v>29700</v>
      </c>
      <c r="O13" s="459" t="n">
        <f aca="false">N13/$N$28</f>
        <v>0.0573160699564086</v>
      </c>
      <c r="P13" s="458" t="n">
        <v>0</v>
      </c>
      <c r="Q13" s="459" t="e">
        <f aca="false">P13/$P$28</f>
        <v>#DIV/0!</v>
      </c>
      <c r="R13" s="460" t="n">
        <f aca="false">D13*M13</f>
        <v>15840</v>
      </c>
      <c r="S13" s="458" t="n">
        <f aca="false">SUM(N13:P13)</f>
        <v>29700.05731607</v>
      </c>
      <c r="T13" s="459" t="n">
        <f aca="false">S13/$S$28</f>
        <v>0.0573161805669094</v>
      </c>
      <c r="U13" s="461" t="n">
        <f aca="false">M13*0.146</f>
        <v>28908</v>
      </c>
      <c r="V13" s="462" t="n">
        <f aca="false">N13/M13</f>
        <v>0.15</v>
      </c>
      <c r="W13" s="461" t="n">
        <f aca="false">M13*0</f>
        <v>0</v>
      </c>
      <c r="X13" s="462" t="n">
        <f aca="false">P13/M13</f>
        <v>0</v>
      </c>
    </row>
    <row r="14" customFormat="false" ht="15" hidden="false" customHeight="false" outlineLevel="0" collapsed="false">
      <c r="A14" s="64" t="s">
        <v>309</v>
      </c>
      <c r="B14" s="64" t="s">
        <v>310</v>
      </c>
      <c r="C14" s="64" t="str">
        <f aca="false">A14&amp;" - "&amp;B14</f>
        <v>H2 - BioNut</v>
      </c>
      <c r="D14" s="455" t="n">
        <v>0.0873</v>
      </c>
      <c r="E14" s="455"/>
      <c r="F14" s="455" t="n">
        <v>0.15</v>
      </c>
      <c r="G14" s="456" t="n">
        <f aca="false">SUM(D14:F14)</f>
        <v>0.2373</v>
      </c>
      <c r="H14" s="5" t="n">
        <f aca="false">E14+F14</f>
        <v>0.15</v>
      </c>
      <c r="I14" s="457"/>
      <c r="K14" s="6" t="s">
        <v>309</v>
      </c>
      <c r="L14" s="6" t="s">
        <v>310</v>
      </c>
      <c r="M14" s="458" t="n">
        <v>141000</v>
      </c>
      <c r="N14" s="458" t="n">
        <f aca="false">M14*F14</f>
        <v>21150</v>
      </c>
      <c r="O14" s="459" t="n">
        <f aca="false">N14/$N$28</f>
        <v>0.0408159892113819</v>
      </c>
      <c r="P14" s="458" t="n">
        <v>0</v>
      </c>
      <c r="Q14" s="459" t="e">
        <f aca="false">P14/$P$28</f>
        <v>#DIV/0!</v>
      </c>
      <c r="R14" s="460" t="n">
        <f aca="false">D14*M14</f>
        <v>12309.3</v>
      </c>
      <c r="S14" s="458" t="n">
        <f aca="false">SUM(N14:P14)</f>
        <v>21150.0408159892</v>
      </c>
      <c r="T14" s="459" t="n">
        <f aca="false">S14/$S$28</f>
        <v>0.0408160679794658</v>
      </c>
      <c r="U14" s="461" t="n">
        <f aca="false">M14*0.146</f>
        <v>20586</v>
      </c>
      <c r="V14" s="462" t="n">
        <f aca="false">N14/M14</f>
        <v>0.15</v>
      </c>
      <c r="W14" s="461" t="n">
        <f aca="false">M14*0</f>
        <v>0</v>
      </c>
      <c r="X14" s="462" t="n">
        <f aca="false">P14/M14</f>
        <v>0</v>
      </c>
    </row>
    <row r="15" customFormat="false" ht="15" hidden="false" customHeight="false" outlineLevel="0" collapsed="false">
      <c r="A15" s="64" t="s">
        <v>311</v>
      </c>
      <c r="B15" s="64" t="s">
        <v>312</v>
      </c>
      <c r="C15" s="64" t="str">
        <f aca="false">A15&amp;" - "&amp;B15</f>
        <v>H5 - LABMED</v>
      </c>
      <c r="D15" s="455" t="n">
        <v>0.0908</v>
      </c>
      <c r="E15" s="455"/>
      <c r="F15" s="455" t="n">
        <v>0.15</v>
      </c>
      <c r="G15" s="456" t="n">
        <f aca="false">SUM(D15:F15)</f>
        <v>0.2408</v>
      </c>
      <c r="H15" s="5" t="n">
        <f aca="false">E15+F15</f>
        <v>0.15</v>
      </c>
      <c r="I15" s="457"/>
      <c r="K15" s="6" t="s">
        <v>311</v>
      </c>
      <c r="L15" s="6" t="s">
        <v>312</v>
      </c>
      <c r="M15" s="458" t="n">
        <v>130850</v>
      </c>
      <c r="N15" s="458" t="n">
        <f aca="false">M15*F15</f>
        <v>19627.5</v>
      </c>
      <c r="O15" s="459" t="n">
        <f aca="false">N15/$N$28</f>
        <v>0.037877816938364</v>
      </c>
      <c r="P15" s="458" t="n">
        <v>0</v>
      </c>
      <c r="Q15" s="459" t="e">
        <f aca="false">P15/$P$28</f>
        <v>#DIV/0!</v>
      </c>
      <c r="R15" s="460" t="n">
        <f aca="false">D15*M15</f>
        <v>11881.18</v>
      </c>
      <c r="S15" s="458" t="n">
        <f aca="false">SUM(N15:P15)</f>
        <v>19627.5378778169</v>
      </c>
      <c r="T15" s="459" t="n">
        <f aca="false">S15/$S$28</f>
        <v>0.0378778900362631</v>
      </c>
      <c r="U15" s="461" t="n">
        <f aca="false">M15*0.146</f>
        <v>19104.1</v>
      </c>
      <c r="V15" s="462" t="n">
        <f aca="false">N15/M15</f>
        <v>0.15</v>
      </c>
      <c r="W15" s="461" t="n">
        <f aca="false">M15*0</f>
        <v>0</v>
      </c>
      <c r="X15" s="462" t="n">
        <f aca="false">P15/M15</f>
        <v>0</v>
      </c>
    </row>
    <row r="16" customFormat="false" ht="15" hidden="false" customHeight="false" outlineLevel="0" collapsed="false">
      <c r="A16" s="64" t="s">
        <v>313</v>
      </c>
      <c r="B16" s="64" t="s">
        <v>314</v>
      </c>
      <c r="C16" s="64" t="str">
        <f aca="false">A16&amp;" - "&amp;B16</f>
        <v>H7 - MedH</v>
      </c>
      <c r="D16" s="455" t="n">
        <v>0.0638</v>
      </c>
      <c r="E16" s="455"/>
      <c r="F16" s="455" t="n">
        <v>0.15</v>
      </c>
      <c r="G16" s="456" t="n">
        <f aca="false">SUM(D16:F16)</f>
        <v>0.2138</v>
      </c>
      <c r="H16" s="5" t="n">
        <f aca="false">E16+F16</f>
        <v>0.15</v>
      </c>
      <c r="I16" s="457"/>
      <c r="K16" s="6" t="s">
        <v>313</v>
      </c>
      <c r="L16" s="6" t="s">
        <v>314</v>
      </c>
      <c r="M16" s="458" t="n">
        <v>241152</v>
      </c>
      <c r="N16" s="458" t="n">
        <f aca="false">M16*F16</f>
        <v>36172.8</v>
      </c>
      <c r="O16" s="459" t="n">
        <f aca="false">N16/$N$28</f>
        <v>0.0698074995056962</v>
      </c>
      <c r="P16" s="458" t="n">
        <v>0</v>
      </c>
      <c r="Q16" s="459" t="e">
        <f aca="false">P16/$P$28</f>
        <v>#DIV/0!</v>
      </c>
      <c r="R16" s="460" t="n">
        <f aca="false">D16*M16</f>
        <v>15385.4976</v>
      </c>
      <c r="S16" s="458" t="n">
        <f aca="false">SUM(N16:P16)</f>
        <v>36172.8698074995</v>
      </c>
      <c r="T16" s="459" t="n">
        <f aca="false">S16/$S$28</f>
        <v>0.0698076342225825</v>
      </c>
      <c r="U16" s="461" t="n">
        <f aca="false">M16*0.146</f>
        <v>35208.192</v>
      </c>
      <c r="V16" s="462" t="n">
        <f aca="false">N16/M16</f>
        <v>0.15</v>
      </c>
      <c r="W16" s="461" t="n">
        <f aca="false">M16*0</f>
        <v>0</v>
      </c>
      <c r="X16" s="462" t="n">
        <f aca="false">P16/M16</f>
        <v>0</v>
      </c>
    </row>
    <row r="17" customFormat="false" ht="15" hidden="false" customHeight="false" outlineLevel="0" collapsed="false">
      <c r="A17" s="64" t="s">
        <v>315</v>
      </c>
      <c r="B17" s="64" t="s">
        <v>316</v>
      </c>
      <c r="C17" s="64" t="str">
        <f aca="false">A17&amp;" - "&amp;B17</f>
        <v>H9 - CLINTEC</v>
      </c>
      <c r="D17" s="455" t="n">
        <v>0.0926</v>
      </c>
      <c r="E17" s="455"/>
      <c r="F17" s="455" t="n">
        <v>0.15</v>
      </c>
      <c r="G17" s="456" t="n">
        <f aca="false">SUM(D17:F17)</f>
        <v>0.2426</v>
      </c>
      <c r="H17" s="5" t="n">
        <f aca="false">E17+F17</f>
        <v>0.15</v>
      </c>
      <c r="I17" s="457"/>
      <c r="K17" s="6" t="s">
        <v>315</v>
      </c>
      <c r="L17" s="6" t="s">
        <v>316</v>
      </c>
      <c r="M17" s="458" t="n">
        <v>90500</v>
      </c>
      <c r="N17" s="458" t="n">
        <f aca="false">M17*F17</f>
        <v>13575</v>
      </c>
      <c r="O17" s="459" t="n">
        <f aca="false">N17/$N$28</f>
        <v>0.0261974966214898</v>
      </c>
      <c r="P17" s="458" t="n">
        <v>0</v>
      </c>
      <c r="Q17" s="459" t="e">
        <f aca="false">P17/$P$28</f>
        <v>#DIV/0!</v>
      </c>
      <c r="R17" s="460" t="n">
        <f aca="false">D17*M17</f>
        <v>8380.3</v>
      </c>
      <c r="S17" s="458" t="n">
        <f aca="false">SUM(N17:P17)</f>
        <v>13575.0261974966</v>
      </c>
      <c r="T17" s="459" t="n">
        <f aca="false">S17/$S$28</f>
        <v>0.0261975471783096</v>
      </c>
      <c r="U17" s="461" t="n">
        <f aca="false">M17*0.146</f>
        <v>13213</v>
      </c>
      <c r="V17" s="462" t="n">
        <f aca="false">N17/M17</f>
        <v>0.15</v>
      </c>
      <c r="W17" s="461" t="n">
        <f aca="false">M17*0</f>
        <v>0</v>
      </c>
      <c r="X17" s="462" t="n">
        <f aca="false">P17/M17</f>
        <v>0</v>
      </c>
    </row>
    <row r="18" customFormat="false" ht="15" hidden="false" customHeight="false" outlineLevel="0" collapsed="false">
      <c r="A18" s="64" t="s">
        <v>317</v>
      </c>
      <c r="B18" s="64" t="s">
        <v>318</v>
      </c>
      <c r="C18" s="64" t="str">
        <f aca="false">A18&amp;" - "&amp;B18</f>
        <v>K1 - MMK</v>
      </c>
      <c r="D18" s="455" t="n">
        <v>0.083</v>
      </c>
      <c r="E18" s="455"/>
      <c r="F18" s="455" t="n">
        <v>0.15</v>
      </c>
      <c r="G18" s="456" t="n">
        <f aca="false">SUM(D18:F18)</f>
        <v>0.233</v>
      </c>
      <c r="H18" s="5" t="n">
        <f aca="false">E18+F18</f>
        <v>0.15</v>
      </c>
      <c r="I18" s="457"/>
      <c r="K18" s="6" t="s">
        <v>317</v>
      </c>
      <c r="L18" s="6" t="s">
        <v>318</v>
      </c>
      <c r="M18" s="458" t="n">
        <v>146000</v>
      </c>
      <c r="N18" s="458" t="n">
        <f aca="false">M18*F18</f>
        <v>21900</v>
      </c>
      <c r="O18" s="459" t="n">
        <f aca="false">N18/$N$28</f>
        <v>0.0422633647153316</v>
      </c>
      <c r="P18" s="458" t="n">
        <v>0</v>
      </c>
      <c r="Q18" s="459" t="e">
        <f aca="false">P18/$P$28</f>
        <v>#DIV/0!</v>
      </c>
      <c r="R18" s="460" t="n">
        <f aca="false">D18*M18</f>
        <v>12118</v>
      </c>
      <c r="S18" s="458" t="n">
        <f aca="false">SUM(N18:P18)</f>
        <v>21900.0422633647</v>
      </c>
      <c r="T18" s="459" t="n">
        <f aca="false">S18/$S$28</f>
        <v>0.04226344627661</v>
      </c>
      <c r="U18" s="461" t="n">
        <f aca="false">M18*0.146</f>
        <v>21316</v>
      </c>
      <c r="V18" s="462" t="n">
        <f aca="false">N18/M18</f>
        <v>0.15</v>
      </c>
      <c r="W18" s="461" t="n">
        <f aca="false">M18*0</f>
        <v>0</v>
      </c>
      <c r="X18" s="462" t="n">
        <f aca="false">P18/M18</f>
        <v>0</v>
      </c>
    </row>
    <row r="19" customFormat="false" ht="15" hidden="false" customHeight="false" outlineLevel="0" collapsed="false">
      <c r="A19" s="64" t="s">
        <v>319</v>
      </c>
      <c r="B19" s="64" t="s">
        <v>320</v>
      </c>
      <c r="C19" s="64" t="str">
        <f aca="false">A19&amp;" - "&amp;B19</f>
        <v>K2 - MedS</v>
      </c>
      <c r="D19" s="455" t="n">
        <v>0.085</v>
      </c>
      <c r="E19" s="455"/>
      <c r="F19" s="455" t="n">
        <v>0.15</v>
      </c>
      <c r="G19" s="456" t="n">
        <f aca="false">SUM(D19:F19)</f>
        <v>0.235</v>
      </c>
      <c r="H19" s="5" t="n">
        <f aca="false">E19+F19</f>
        <v>0.15</v>
      </c>
      <c r="I19" s="457"/>
      <c r="K19" s="6" t="s">
        <v>319</v>
      </c>
      <c r="L19" s="6" t="s">
        <v>320</v>
      </c>
      <c r="M19" s="458" t="n">
        <v>336400</v>
      </c>
      <c r="N19" s="458" t="n">
        <f aca="false">M19*F19</f>
        <v>50460</v>
      </c>
      <c r="O19" s="459" t="n">
        <f aca="false">N19/$N$28</f>
        <v>0.0973794239057366</v>
      </c>
      <c r="P19" s="458" t="n">
        <v>0</v>
      </c>
      <c r="Q19" s="459" t="e">
        <f aca="false">P19/$P$28</f>
        <v>#DIV/0!</v>
      </c>
      <c r="R19" s="460" t="n">
        <f aca="false">D19*M19</f>
        <v>28594</v>
      </c>
      <c r="S19" s="458" t="n">
        <f aca="false">SUM(N19:P19)</f>
        <v>50460.0973794239</v>
      </c>
      <c r="T19" s="459" t="n">
        <f aca="false">S19/$S$28</f>
        <v>0.0973796118318603</v>
      </c>
      <c r="U19" s="461" t="n">
        <f aca="false">M19*0.146</f>
        <v>49114.4</v>
      </c>
      <c r="V19" s="462" t="n">
        <f aca="false">N19/M19</f>
        <v>0.15</v>
      </c>
      <c r="W19" s="461" t="n">
        <f aca="false">M19*0</f>
        <v>0</v>
      </c>
      <c r="X19" s="462" t="n">
        <f aca="false">P19/M19</f>
        <v>0</v>
      </c>
    </row>
    <row r="20" customFormat="false" ht="15" hidden="false" customHeight="false" outlineLevel="0" collapsed="false">
      <c r="A20" s="64" t="s">
        <v>321</v>
      </c>
      <c r="B20" s="64" t="s">
        <v>322</v>
      </c>
      <c r="C20" s="64" t="str">
        <f aca="false">A20&amp;" - "&amp;B20</f>
        <v>K6 - KBH</v>
      </c>
      <c r="D20" s="455" t="n">
        <v>0.07</v>
      </c>
      <c r="E20" s="455"/>
      <c r="F20" s="455" t="n">
        <v>0.15</v>
      </c>
      <c r="G20" s="456" t="n">
        <f aca="false">SUM(D20:F20)</f>
        <v>0.22</v>
      </c>
      <c r="H20" s="5" t="n">
        <f aca="false">E20+F20</f>
        <v>0.15</v>
      </c>
      <c r="I20" s="457"/>
      <c r="K20" s="6" t="s">
        <v>321</v>
      </c>
      <c r="L20" s="6" t="s">
        <v>322</v>
      </c>
      <c r="M20" s="458" t="n">
        <v>136200</v>
      </c>
      <c r="N20" s="458" t="n">
        <f aca="false">M20*F20</f>
        <v>20430</v>
      </c>
      <c r="O20" s="459" t="n">
        <f aca="false">N20/$N$28</f>
        <v>0.0394265087275902</v>
      </c>
      <c r="P20" s="458" t="n">
        <v>0</v>
      </c>
      <c r="Q20" s="459" t="e">
        <f aca="false">P20/$P$28</f>
        <v>#DIV/0!</v>
      </c>
      <c r="R20" s="460" t="n">
        <f aca="false">D20*M20</f>
        <v>9534</v>
      </c>
      <c r="S20" s="458" t="n">
        <f aca="false">SUM(N20:P20)</f>
        <v>20430.0394265087</v>
      </c>
      <c r="T20" s="459" t="n">
        <f aca="false">S20/$S$28</f>
        <v>0.0394265848142074</v>
      </c>
      <c r="U20" s="461" t="n">
        <f aca="false">M20*0.146</f>
        <v>19885.2</v>
      </c>
      <c r="V20" s="462" t="n">
        <f aca="false">N20/M20</f>
        <v>0.15</v>
      </c>
      <c r="W20" s="461" t="n">
        <f aca="false">M20*0</f>
        <v>0</v>
      </c>
      <c r="X20" s="462" t="n">
        <f aca="false">P20/M20</f>
        <v>0</v>
      </c>
    </row>
    <row r="21" customFormat="false" ht="15" hidden="false" customHeight="false" outlineLevel="0" collapsed="false">
      <c r="A21" s="64" t="s">
        <v>323</v>
      </c>
      <c r="B21" s="64" t="s">
        <v>324</v>
      </c>
      <c r="C21" s="64" t="str">
        <f aca="false">A21&amp;" - "&amp;B21</f>
        <v>K7 - OnkPat</v>
      </c>
      <c r="D21" s="455" t="n">
        <v>0.0762</v>
      </c>
      <c r="E21" s="455"/>
      <c r="F21" s="455" t="n">
        <v>0.15</v>
      </c>
      <c r="G21" s="456" t="n">
        <f aca="false">SUM(D21:F21)</f>
        <v>0.2262</v>
      </c>
      <c r="H21" s="5" t="n">
        <f aca="false">E21+F21</f>
        <v>0.15</v>
      </c>
      <c r="I21" s="457"/>
      <c r="K21" s="6" t="s">
        <v>323</v>
      </c>
      <c r="L21" s="6" t="s">
        <v>324</v>
      </c>
      <c r="M21" s="458" t="n">
        <v>198604</v>
      </c>
      <c r="N21" s="458" t="n">
        <f aca="false">M21*F21</f>
        <v>29790.6</v>
      </c>
      <c r="O21" s="459" t="n">
        <f aca="false">N21/$N$28</f>
        <v>0.0574909129172857</v>
      </c>
      <c r="P21" s="458" t="n">
        <v>0</v>
      </c>
      <c r="Q21" s="459" t="e">
        <f aca="false">P21/$P$28</f>
        <v>#DIV/0!</v>
      </c>
      <c r="R21" s="460" t="n">
        <f aca="false">D21*M21</f>
        <v>15133.6248</v>
      </c>
      <c r="S21" s="458" t="n">
        <f aca="false">SUM(N21:P21)</f>
        <v>29790.6574909129</v>
      </c>
      <c r="T21" s="459" t="n">
        <f aca="false">S21/$S$28</f>
        <v>0.0574910238652045</v>
      </c>
      <c r="U21" s="461" t="n">
        <f aca="false">M21*0.146</f>
        <v>28996.184</v>
      </c>
      <c r="V21" s="462" t="n">
        <f aca="false">N21/M21</f>
        <v>0.15</v>
      </c>
      <c r="W21" s="461" t="n">
        <f aca="false">M21*0</f>
        <v>0</v>
      </c>
      <c r="X21" s="462" t="n">
        <f aca="false">P21/M21</f>
        <v>0</v>
      </c>
    </row>
    <row r="22" customFormat="false" ht="15" hidden="false" customHeight="false" outlineLevel="0" collapsed="false">
      <c r="A22" s="64" t="s">
        <v>325</v>
      </c>
      <c r="B22" s="64" t="s">
        <v>326</v>
      </c>
      <c r="C22" s="64" t="str">
        <f aca="false">A22&amp;" - "&amp;B22</f>
        <v>K8 - CNS</v>
      </c>
      <c r="D22" s="455" t="n">
        <v>0.065</v>
      </c>
      <c r="E22" s="455"/>
      <c r="F22" s="455" t="n">
        <v>0.15</v>
      </c>
      <c r="G22" s="456" t="n">
        <f aca="false">SUM(D22:F22)</f>
        <v>0.215</v>
      </c>
      <c r="H22" s="5" t="n">
        <f aca="false">E22+F22</f>
        <v>0.15</v>
      </c>
      <c r="I22" s="457"/>
      <c r="K22" s="6" t="s">
        <v>325</v>
      </c>
      <c r="L22" s="6" t="s">
        <v>326</v>
      </c>
      <c r="M22" s="458" t="n">
        <v>269000</v>
      </c>
      <c r="N22" s="458" t="n">
        <f aca="false">M22*F22</f>
        <v>40350</v>
      </c>
      <c r="O22" s="459" t="n">
        <f aca="false">N22/$N$28</f>
        <v>0.0778688021124945</v>
      </c>
      <c r="P22" s="458" t="n">
        <v>0</v>
      </c>
      <c r="Q22" s="459" t="e">
        <f aca="false">P22/$P$28</f>
        <v>#DIV/0!</v>
      </c>
      <c r="R22" s="460" t="n">
        <f aca="false">D22*M22</f>
        <v>17485</v>
      </c>
      <c r="S22" s="458" t="n">
        <f aca="false">SUM(N22:P22)</f>
        <v>40350.0778688021</v>
      </c>
      <c r="T22" s="459" t="n">
        <f aca="false">S22/$S$28</f>
        <v>0.0778689523863568</v>
      </c>
      <c r="U22" s="461" t="n">
        <f aca="false">M22*0.146</f>
        <v>39274</v>
      </c>
      <c r="V22" s="462" t="n">
        <f aca="false">N22/M22</f>
        <v>0.15</v>
      </c>
      <c r="W22" s="461" t="n">
        <f aca="false">M22*0</f>
        <v>0</v>
      </c>
      <c r="X22" s="462" t="n">
        <f aca="false">P22/M22</f>
        <v>0</v>
      </c>
    </row>
    <row r="23" customFormat="false" ht="15" hidden="false" customHeight="false" outlineLevel="0" collapsed="false">
      <c r="A23" s="64" t="s">
        <v>327</v>
      </c>
      <c r="B23" s="64" t="s">
        <v>328</v>
      </c>
      <c r="C23" s="64" t="str">
        <f aca="false">A23&amp;" - "&amp;B23</f>
        <v>K9 - PHS</v>
      </c>
      <c r="D23" s="455" t="n">
        <v>0.104</v>
      </c>
      <c r="E23" s="455"/>
      <c r="F23" s="455" t="n">
        <v>0.15</v>
      </c>
      <c r="G23" s="456" t="n">
        <f aca="false">SUM(D23:F23)</f>
        <v>0.254</v>
      </c>
      <c r="H23" s="5" t="n">
        <f aca="false">E23+F23</f>
        <v>0.15</v>
      </c>
      <c r="I23" s="457"/>
      <c r="K23" s="6" t="s">
        <v>327</v>
      </c>
      <c r="L23" s="6" t="s">
        <v>328</v>
      </c>
      <c r="M23" s="458" t="n">
        <v>88500</v>
      </c>
      <c r="N23" s="458" t="n">
        <f aca="false">M23*F23</f>
        <v>13275</v>
      </c>
      <c r="O23" s="459" t="n">
        <f aca="false">N23/$N$28</f>
        <v>0.0256185464199099</v>
      </c>
      <c r="P23" s="458" t="n">
        <v>0</v>
      </c>
      <c r="Q23" s="459" t="e">
        <f aca="false">P23/$P$28</f>
        <v>#DIV/0!</v>
      </c>
      <c r="R23" s="460" t="n">
        <f aca="false">D23*M23</f>
        <v>9204</v>
      </c>
      <c r="S23" s="458" t="n">
        <f aca="false">SUM(N23:P23)</f>
        <v>13275.0256185464</v>
      </c>
      <c r="T23" s="459" t="n">
        <f aca="false">S23/$S$28</f>
        <v>0.0256185958594519</v>
      </c>
      <c r="U23" s="461" t="n">
        <f aca="false">M23*0.146</f>
        <v>12921</v>
      </c>
      <c r="V23" s="462" t="n">
        <f aca="false">N23/M23</f>
        <v>0.15</v>
      </c>
      <c r="W23" s="461" t="n">
        <f aca="false">M23*0</f>
        <v>0</v>
      </c>
      <c r="X23" s="462" t="n">
        <f aca="false">P23/M23</f>
        <v>0</v>
      </c>
    </row>
    <row r="24" customFormat="false" ht="15" hidden="false" customHeight="false" outlineLevel="0" collapsed="false">
      <c r="A24" s="64" t="s">
        <v>329</v>
      </c>
      <c r="B24" s="64" t="s">
        <v>330</v>
      </c>
      <c r="C24" s="64" t="str">
        <f aca="false">A24&amp;" - "&amp;B24</f>
        <v>OF - DENTMED</v>
      </c>
      <c r="D24" s="455" t="n">
        <v>0.181</v>
      </c>
      <c r="E24" s="455"/>
      <c r="F24" s="455" t="n">
        <v>0.15</v>
      </c>
      <c r="G24" s="456" t="n">
        <f aca="false">SUM(D24:F24)</f>
        <v>0.331</v>
      </c>
      <c r="H24" s="5" t="n">
        <f aca="false">E24+F24</f>
        <v>0.15</v>
      </c>
      <c r="I24" s="457"/>
      <c r="K24" s="6" t="s">
        <v>329</v>
      </c>
      <c r="L24" s="6" t="s">
        <v>330</v>
      </c>
      <c r="M24" s="458" t="n">
        <v>25001</v>
      </c>
      <c r="N24" s="458" t="n">
        <f aca="false">M24*F24</f>
        <v>3750.15</v>
      </c>
      <c r="O24" s="459" t="n">
        <f aca="false">N24/$N$28</f>
        <v>0.00723716699484935</v>
      </c>
      <c r="P24" s="458" t="n">
        <v>0</v>
      </c>
      <c r="Q24" s="459" t="e">
        <f aca="false">P24/$P$28</f>
        <v>#DIV/0!</v>
      </c>
      <c r="R24" s="460" t="n">
        <f aca="false">D24*M24</f>
        <v>4525.181</v>
      </c>
      <c r="S24" s="458" t="n">
        <f aca="false">SUM(N24:P24)</f>
        <v>3750.15723716699</v>
      </c>
      <c r="T24" s="459" t="n">
        <f aca="false">S24/$S$28</f>
        <v>0.00723718096138032</v>
      </c>
      <c r="U24" s="461" t="n">
        <f aca="false">M24*0.146</f>
        <v>3650.146</v>
      </c>
      <c r="V24" s="462" t="n">
        <f aca="false">N24/M24</f>
        <v>0.15</v>
      </c>
      <c r="W24" s="461" t="n">
        <f aca="false">M24*0</f>
        <v>0</v>
      </c>
      <c r="X24" s="462" t="n">
        <f aca="false">P24/M24</f>
        <v>0</v>
      </c>
    </row>
    <row r="25" customFormat="false" ht="15" hidden="false" customHeight="false" outlineLevel="0" collapsed="false">
      <c r="A25" s="64" t="s">
        <v>331</v>
      </c>
      <c r="B25" s="64" t="s">
        <v>332</v>
      </c>
      <c r="C25" s="64" t="str">
        <f aca="false">A25&amp;" - "&amp;B25</f>
        <v>OV - Universitetstandvården</v>
      </c>
      <c r="D25" s="455" t="n">
        <v>0.1614</v>
      </c>
      <c r="E25" s="455"/>
      <c r="F25" s="455" t="n">
        <v>0.0452</v>
      </c>
      <c r="G25" s="456" t="n">
        <f aca="false">SUM(D25:F25)</f>
        <v>0.2066</v>
      </c>
      <c r="H25" s="5" t="n">
        <f aca="false">E25+F25</f>
        <v>0.0452</v>
      </c>
      <c r="I25" s="457"/>
      <c r="K25" s="6" t="s">
        <v>331</v>
      </c>
      <c r="L25" s="6" t="s">
        <v>332</v>
      </c>
      <c r="M25" s="458" t="n">
        <v>34087</v>
      </c>
      <c r="N25" s="458" t="n">
        <f aca="false">M25*F25</f>
        <v>1540.7324</v>
      </c>
      <c r="O25" s="459" t="n">
        <f aca="false">N25/$N$28</f>
        <v>0.00297335777853553</v>
      </c>
      <c r="P25" s="458" t="n">
        <v>0</v>
      </c>
      <c r="Q25" s="459" t="e">
        <f aca="false">P25/$P$28</f>
        <v>#DIV/0!</v>
      </c>
      <c r="R25" s="460" t="n">
        <f aca="false">D25*M25</f>
        <v>5501.6418</v>
      </c>
      <c r="S25" s="458" t="n">
        <f aca="false">SUM(N25:P25)</f>
        <v>1540.73537335778</v>
      </c>
      <c r="T25" s="459" t="n">
        <f aca="false">S25/$S$28</f>
        <v>0.00297336351662248</v>
      </c>
      <c r="U25" s="461" t="n">
        <f aca="false">M25*0.146</f>
        <v>4976.702</v>
      </c>
      <c r="V25" s="462" t="n">
        <f aca="false">N25/M25</f>
        <v>0.0452</v>
      </c>
      <c r="W25" s="461" t="n">
        <f aca="false">M25*0</f>
        <v>0</v>
      </c>
      <c r="X25" s="462" t="n">
        <f aca="false">P25/M25</f>
        <v>0</v>
      </c>
    </row>
    <row r="26" s="463" customFormat="true" ht="15" hidden="false" customHeight="false" outlineLevel="0" collapsed="false">
      <c r="A26" s="64" t="s">
        <v>333</v>
      </c>
      <c r="B26" s="64" t="s">
        <v>334</v>
      </c>
      <c r="C26" s="64" t="str">
        <f aca="false">A26&amp;" - "&amp;B26</f>
        <v>S1 - SÖS</v>
      </c>
      <c r="D26" s="455" t="n">
        <v>0.0925</v>
      </c>
      <c r="E26" s="455"/>
      <c r="F26" s="455" t="n">
        <v>0.15</v>
      </c>
      <c r="G26" s="456" t="n">
        <f aca="false">SUM(D26:F26)</f>
        <v>0.2425</v>
      </c>
      <c r="H26" s="5" t="n">
        <f aca="false">E26+F26</f>
        <v>0.15</v>
      </c>
      <c r="I26" s="457"/>
      <c r="K26" s="6" t="s">
        <v>333</v>
      </c>
      <c r="L26" s="6" t="s">
        <v>334</v>
      </c>
      <c r="M26" s="458" t="n">
        <v>31449</v>
      </c>
      <c r="N26" s="458" t="n">
        <f aca="false">M26*F26</f>
        <v>4717.35</v>
      </c>
      <c r="O26" s="464" t="n">
        <f aca="false">N26/$N$28</f>
        <v>0.0091037024447429</v>
      </c>
      <c r="P26" s="458" t="n">
        <v>0</v>
      </c>
      <c r="Q26" s="464" t="e">
        <f aca="false">P26/$P$28</f>
        <v>#DIV/0!</v>
      </c>
      <c r="R26" s="465" t="n">
        <f aca="false">D26*M26</f>
        <v>2909.0325</v>
      </c>
      <c r="S26" s="466" t="n">
        <f aca="false">SUM(N26:P26)</f>
        <v>4717.35910370244</v>
      </c>
      <c r="T26" s="464" t="n">
        <f aca="false">S26/$S$28</f>
        <v>0.00910372001337745</v>
      </c>
      <c r="U26" s="467" t="n">
        <f aca="false">M26*0.0498</f>
        <v>1566.1602</v>
      </c>
      <c r="V26" s="468" t="n">
        <f aca="false">N26/M26</f>
        <v>0.15</v>
      </c>
      <c r="W26" s="461" t="n">
        <f aca="false">M26*0</f>
        <v>0</v>
      </c>
      <c r="X26" s="468" t="n">
        <f aca="false">P26/O26</f>
        <v>0</v>
      </c>
      <c r="Y26" s="469" t="s">
        <v>335</v>
      </c>
    </row>
    <row r="27" customFormat="false" ht="15" hidden="false" customHeight="false" outlineLevel="0" collapsed="false">
      <c r="A27" s="64" t="s">
        <v>336</v>
      </c>
      <c r="B27" s="64" t="s">
        <v>337</v>
      </c>
      <c r="C27" s="64" t="str">
        <f aca="false">A27&amp;" - "&amp;B27</f>
        <v>TL - Undervisning och lärande</v>
      </c>
      <c r="D27" s="455" t="n">
        <v>0.1024</v>
      </c>
      <c r="E27" s="455"/>
      <c r="F27" s="455" t="n">
        <v>0.15</v>
      </c>
      <c r="G27" s="456" t="n">
        <f aca="false">SUM(D27:F27)</f>
        <v>0.2524</v>
      </c>
      <c r="H27" s="5" t="n">
        <f aca="false">E27+F27</f>
        <v>0.15</v>
      </c>
      <c r="I27" s="457"/>
      <c r="K27" s="6" t="s">
        <v>336</v>
      </c>
      <c r="L27" s="6" t="s">
        <v>337</v>
      </c>
      <c r="M27" s="458" t="n">
        <v>8238</v>
      </c>
      <c r="N27" s="458" t="n">
        <f aca="false">M27*F27</f>
        <v>1235.7</v>
      </c>
      <c r="O27" s="459" t="n">
        <f aca="false">N27/$N$28</f>
        <v>0.00238469588030755</v>
      </c>
      <c r="P27" s="458" t="n">
        <v>0</v>
      </c>
      <c r="Q27" s="459" t="e">
        <f aca="false">P27/$P$28</f>
        <v>#DIV/0!</v>
      </c>
      <c r="R27" s="460" t="n">
        <f aca="false">D27*M27</f>
        <v>843.5712</v>
      </c>
      <c r="S27" s="458" t="n">
        <f aca="false">SUM(N27:P27)</f>
        <v>1235.70238469588</v>
      </c>
      <c r="T27" s="459" t="n">
        <f aca="false">S27/$S$28</f>
        <v>0.00238470048237475</v>
      </c>
      <c r="U27" s="461" t="n">
        <f aca="false">M27*0.146</f>
        <v>1202.748</v>
      </c>
      <c r="V27" s="462" t="n">
        <f aca="false">N27/M27</f>
        <v>0.15</v>
      </c>
      <c r="W27" s="461" t="n">
        <f aca="false">M27*0</f>
        <v>0</v>
      </c>
      <c r="X27" s="462" t="n">
        <f aca="false">P27/M27</f>
        <v>0</v>
      </c>
    </row>
    <row r="28" customFormat="false" ht="14.25" hidden="false" customHeight="false" outlineLevel="0" collapsed="false">
      <c r="A28" s="64" t="s">
        <v>338</v>
      </c>
      <c r="B28" s="64" t="s">
        <v>21</v>
      </c>
      <c r="C28" s="64" t="str">
        <f aca="false">A28&amp;" - "&amp;B28</f>
        <v>UF - Externt</v>
      </c>
      <c r="D28" s="64"/>
      <c r="E28" s="64"/>
      <c r="F28" s="64"/>
      <c r="G28" s="456" t="n">
        <v>0.39</v>
      </c>
      <c r="I28" s="457"/>
      <c r="K28" s="110"/>
      <c r="L28" s="110"/>
      <c r="M28" s="470" t="n">
        <f aca="false">SUM(M3:M27)</f>
        <v>3478344</v>
      </c>
      <c r="N28" s="470" t="n">
        <f aca="false">SUM(N3:N27)</f>
        <v>518179.2824</v>
      </c>
      <c r="O28" s="110"/>
      <c r="P28" s="470" t="n">
        <f aca="false">SUM(P3:P27)</f>
        <v>0</v>
      </c>
      <c r="Q28" s="110"/>
      <c r="S28" s="470" t="n">
        <f aca="false">SUM(N28:P28)</f>
        <v>518179.2824</v>
      </c>
      <c r="T28" s="110"/>
    </row>
    <row r="29" customFormat="false" ht="14.25" hidden="false" customHeight="false" outlineLevel="0" collapsed="false">
      <c r="A29" s="64" t="s">
        <v>338</v>
      </c>
      <c r="B29" s="64" t="s">
        <v>339</v>
      </c>
      <c r="C29" s="64" t="str">
        <f aca="false">A29&amp;" - "&amp;B29</f>
        <v>UF - Internt</v>
      </c>
      <c r="D29" s="64"/>
      <c r="E29" s="64"/>
      <c r="F29" s="64"/>
      <c r="G29" s="456" t="n">
        <v>0.16</v>
      </c>
      <c r="I29" s="457"/>
    </row>
    <row r="30" customFormat="false" ht="14.25" hidden="false" customHeight="false" outlineLevel="0" collapsed="false">
      <c r="A30" s="6"/>
      <c r="B30" s="6"/>
      <c r="C30" s="6"/>
      <c r="D30" s="6"/>
      <c r="E30" s="6"/>
      <c r="F30" s="6"/>
      <c r="G30" s="6"/>
      <c r="I30" s="457"/>
      <c r="M30" s="6"/>
      <c r="N30" s="6"/>
      <c r="O30" s="6"/>
      <c r="P30" s="6"/>
    </row>
    <row r="32" customFormat="false" ht="14.25" hidden="false" customHeight="false" outlineLevel="0" collapsed="false">
      <c r="I32" s="232"/>
      <c r="N32" s="232"/>
      <c r="P32" s="232"/>
    </row>
    <row r="35" s="471" customFormat="true" ht="18" hidden="false" customHeight="false" outlineLevel="0" collapsed="false">
      <c r="A35" s="471" t="s">
        <v>340</v>
      </c>
      <c r="L35" s="471" t="s">
        <v>341</v>
      </c>
      <c r="P35" s="471" t="s">
        <v>342</v>
      </c>
    </row>
    <row r="36" customFormat="false" ht="14.25" hidden="false" customHeight="false" outlineLevel="0" collapsed="false">
      <c r="L36" s="451" t="s">
        <v>343</v>
      </c>
      <c r="M36" s="451"/>
      <c r="N36" s="451"/>
      <c r="P36" s="472" t="s">
        <v>344</v>
      </c>
      <c r="Q36" s="472" t="s">
        <v>345</v>
      </c>
      <c r="R36" s="472" t="s">
        <v>346</v>
      </c>
      <c r="S36" s="472" t="s">
        <v>347</v>
      </c>
    </row>
    <row r="37" customFormat="false" ht="14.25" hidden="false" customHeight="false" outlineLevel="0" collapsed="false">
      <c r="A37" s="473" t="s">
        <v>120</v>
      </c>
      <c r="B37" s="473" t="s">
        <v>121</v>
      </c>
      <c r="C37" s="474" t="s">
        <v>122</v>
      </c>
      <c r="D37" s="473" t="s">
        <v>348</v>
      </c>
      <c r="E37" s="473" t="s">
        <v>349</v>
      </c>
      <c r="F37" s="473" t="s">
        <v>350</v>
      </c>
      <c r="G37" s="473" t="s">
        <v>351</v>
      </c>
      <c r="H37" s="473" t="s">
        <v>126</v>
      </c>
      <c r="I37" s="473" t="s">
        <v>352</v>
      </c>
      <c r="J37" s="475" t="s">
        <v>125</v>
      </c>
      <c r="L37" s="476" t="s">
        <v>121</v>
      </c>
      <c r="M37" s="476" t="s">
        <v>353</v>
      </c>
      <c r="N37" s="476" t="s">
        <v>354</v>
      </c>
      <c r="P37" s="6" t="n">
        <v>81008002</v>
      </c>
      <c r="Q37" s="6" t="s">
        <v>252</v>
      </c>
      <c r="R37" s="6" t="s">
        <v>252</v>
      </c>
      <c r="S37" s="6" t="s">
        <v>355</v>
      </c>
      <c r="T37" s="210" t="n">
        <f aca="false">SUMIFS($J$38:$J$1376,$A$38:$A$1376,"39498",$C$38:$C$1376,LEFT('Research Grant'!$D$28,2)&amp;'INDI FO 2021'!$P37)+SUMIF($L$38:$L$62,LEFT('Research Grant'!$D$28,2),'INDI FO 2021'!$N$38:$N$62)</f>
        <v>-3292333.63</v>
      </c>
      <c r="U37" s="477" t="s">
        <v>356</v>
      </c>
      <c r="V37" s="478"/>
      <c r="W37" s="478"/>
      <c r="X37" s="478"/>
      <c r="Y37" s="478"/>
      <c r="Z37" s="479"/>
    </row>
    <row r="38" customFormat="false" ht="14.25" hidden="false" customHeight="false" outlineLevel="0" collapsed="false">
      <c r="A38" s="1" t="n">
        <v>39498</v>
      </c>
      <c r="C38" s="1" t="s">
        <v>357</v>
      </c>
      <c r="I38" s="1" t="n">
        <v>202100</v>
      </c>
      <c r="J38" s="1" t="n">
        <v>-277007.46</v>
      </c>
      <c r="L38" s="6" t="s">
        <v>287</v>
      </c>
      <c r="M38" s="480" t="n">
        <v>2490</v>
      </c>
      <c r="N38" s="481" t="n">
        <f aca="false">M38*-1000</f>
        <v>-2490000</v>
      </c>
      <c r="P38" s="6" t="n">
        <v>81008012</v>
      </c>
      <c r="Q38" s="6" t="s">
        <v>358</v>
      </c>
      <c r="R38" s="6" t="s">
        <v>252</v>
      </c>
      <c r="S38" s="6" t="s">
        <v>355</v>
      </c>
      <c r="T38" s="210" t="n">
        <f aca="false">SUMIFS($J$38:$J$1376,$A$38:$A$1376,"39498",$C$38:$C$1376,LEFT('Research Grant'!$D$28,2)&amp;'INDI FO 2021'!$P38)</f>
        <v>0</v>
      </c>
    </row>
    <row r="39" customFormat="false" ht="14.25" hidden="false" customHeight="false" outlineLevel="0" collapsed="false">
      <c r="A39" s="1" t="n">
        <v>39498</v>
      </c>
      <c r="C39" s="1" t="s">
        <v>359</v>
      </c>
      <c r="I39" s="1" t="n">
        <v>202100</v>
      </c>
      <c r="J39" s="1" t="n">
        <v>-4333275.26</v>
      </c>
      <c r="L39" s="6" t="s">
        <v>289</v>
      </c>
      <c r="M39" s="480" t="n">
        <v>2895</v>
      </c>
      <c r="N39" s="481" t="n">
        <f aca="false">M39*-1000</f>
        <v>-2895000</v>
      </c>
      <c r="P39" s="6" t="n">
        <v>82008002</v>
      </c>
      <c r="Q39" s="132" t="s">
        <v>360</v>
      </c>
      <c r="R39" s="6" t="s">
        <v>253</v>
      </c>
      <c r="S39" s="6" t="s">
        <v>361</v>
      </c>
      <c r="T39" s="210" t="n">
        <f aca="false">SUMIFS($J$38:$J$1376,$A$38:$A$1376,"39498",$C$38:$C$1376,LEFT('Research Grant'!$D$28,2)&amp;'INDI FO 2021'!$P39)</f>
        <v>-773507.55</v>
      </c>
    </row>
    <row r="40" customFormat="false" ht="14.25" hidden="false" customHeight="false" outlineLevel="0" collapsed="false">
      <c r="A40" s="1" t="n">
        <v>39498</v>
      </c>
      <c r="C40" s="1" t="s">
        <v>362</v>
      </c>
      <c r="I40" s="1" t="n">
        <v>202100</v>
      </c>
      <c r="J40" s="1" t="n">
        <v>-351832</v>
      </c>
      <c r="L40" s="6" t="s">
        <v>291</v>
      </c>
      <c r="M40" s="480" t="n">
        <v>1500</v>
      </c>
      <c r="N40" s="481" t="n">
        <f aca="false">M40*-1000</f>
        <v>-1500000</v>
      </c>
      <c r="P40" s="6" t="n">
        <v>82008012</v>
      </c>
      <c r="Q40" s="6" t="s">
        <v>363</v>
      </c>
      <c r="R40" s="6" t="s">
        <v>253</v>
      </c>
      <c r="S40" s="6" t="s">
        <v>361</v>
      </c>
      <c r="T40" s="210" t="n">
        <f aca="false">SUMIFS($J$38:$J$1376,$A$38:$A$1376,"39498",$C$38:$C$1376,LEFT('Research Grant'!$D$28,2)&amp;'INDI FO 2021'!$P40)</f>
        <v>0</v>
      </c>
    </row>
    <row r="41" customFormat="false" ht="14.25" hidden="false" customHeight="false" outlineLevel="0" collapsed="false">
      <c r="A41" s="1" t="n">
        <v>39498</v>
      </c>
      <c r="C41" s="1" t="s">
        <v>364</v>
      </c>
      <c r="I41" s="1" t="n">
        <v>202100</v>
      </c>
      <c r="J41" s="1" t="n">
        <v>-968869</v>
      </c>
      <c r="L41" s="6" t="s">
        <v>293</v>
      </c>
      <c r="M41" s="482" t="n">
        <v>1325</v>
      </c>
      <c r="N41" s="481" t="n">
        <f aca="false">M41*-1000</f>
        <v>-1325000</v>
      </c>
      <c r="P41" s="6" t="n">
        <v>83008002</v>
      </c>
      <c r="Q41" s="6" t="s">
        <v>254</v>
      </c>
      <c r="R41" s="6" t="s">
        <v>254</v>
      </c>
      <c r="S41" s="6" t="s">
        <v>365</v>
      </c>
      <c r="T41" s="210" t="n">
        <f aca="false">SUMIFS($J$38:$J$1376,$A$38:$A$1376,"39498",$C$38:$C$1376,LEFT('Research Grant'!$D$28,2)&amp;'INDI FO 2021'!$P41)</f>
        <v>-4531848.25</v>
      </c>
    </row>
    <row r="42" customFormat="false" ht="14.25" hidden="false" customHeight="false" outlineLevel="0" collapsed="false">
      <c r="A42" s="1" t="n">
        <v>39498</v>
      </c>
      <c r="C42" s="1" t="s">
        <v>366</v>
      </c>
      <c r="I42" s="1" t="n">
        <v>202100</v>
      </c>
      <c r="J42" s="1" t="n">
        <v>-388475</v>
      </c>
      <c r="L42" s="6" t="s">
        <v>295</v>
      </c>
      <c r="M42" s="480" t="n">
        <v>2050</v>
      </c>
      <c r="N42" s="481" t="n">
        <f aca="false">M42*-1000</f>
        <v>-2050000</v>
      </c>
      <c r="P42" s="6" t="n">
        <v>83008012</v>
      </c>
      <c r="Q42" s="132" t="s">
        <v>367</v>
      </c>
      <c r="R42" s="6" t="s">
        <v>254</v>
      </c>
      <c r="S42" s="6" t="s">
        <v>365</v>
      </c>
      <c r="T42" s="210" t="n">
        <f aca="false">SUMIFS($J$38:$J$1376,$A$38:$A$1376,"39498",$C$38:$C$1376,LEFT('Research Grant'!$D$28,2)&amp;'INDI FO 2021'!$P42)</f>
        <v>0</v>
      </c>
    </row>
    <row r="43" customFormat="false" ht="14.25" hidden="false" customHeight="false" outlineLevel="0" collapsed="false">
      <c r="A43" s="1" t="n">
        <v>39498</v>
      </c>
      <c r="C43" s="1" t="s">
        <v>368</v>
      </c>
      <c r="I43" s="1" t="n">
        <v>202100</v>
      </c>
      <c r="J43" s="1" t="n">
        <v>-6948238.5</v>
      </c>
      <c r="L43" s="6" t="s">
        <v>297</v>
      </c>
      <c r="M43" s="480" t="n">
        <v>0</v>
      </c>
      <c r="N43" s="481" t="n">
        <f aca="false">M43*-1000</f>
        <v>-0</v>
      </c>
      <c r="P43" s="6" t="n">
        <v>84008002</v>
      </c>
      <c r="Q43" s="132" t="s">
        <v>369</v>
      </c>
      <c r="R43" s="6" t="s">
        <v>255</v>
      </c>
      <c r="S43" s="6" t="s">
        <v>370</v>
      </c>
      <c r="T43" s="210" t="n">
        <f aca="false">SUMIFS($J$38:$J$1376,$A$38:$A$1376,"39498",$C$38:$C$1376,LEFT('Research Grant'!$D$28,2)&amp;'INDI FO 2021'!$P43)</f>
        <v>-605974.24</v>
      </c>
    </row>
    <row r="44" customFormat="false" ht="14.25" hidden="false" customHeight="false" outlineLevel="0" collapsed="false">
      <c r="A44" s="1" t="n">
        <v>39498</v>
      </c>
      <c r="C44" s="1" t="s">
        <v>371</v>
      </c>
      <c r="I44" s="1" t="n">
        <v>202100</v>
      </c>
      <c r="J44" s="1" t="n">
        <v>-210</v>
      </c>
      <c r="L44" s="6" t="s">
        <v>299</v>
      </c>
      <c r="M44" s="480" t="n">
        <v>673</v>
      </c>
      <c r="N44" s="481" t="n">
        <f aca="false">M44*-1000</f>
        <v>-673000</v>
      </c>
      <c r="P44" s="6" t="n">
        <v>84008012</v>
      </c>
      <c r="Q44" s="6" t="s">
        <v>372</v>
      </c>
      <c r="R44" s="6" t="s">
        <v>255</v>
      </c>
      <c r="S44" s="6" t="s">
        <v>370</v>
      </c>
      <c r="T44" s="210" t="n">
        <f aca="false">SUMIFS($J$38:$J$1376,$A$38:$A$1376,"39498",$C$38:$C$1376,LEFT('Research Grant'!$D$28,2)&amp;'INDI FO 2021'!$P44)</f>
        <v>0</v>
      </c>
    </row>
    <row r="45" customFormat="false" ht="14.25" hidden="false" customHeight="false" outlineLevel="0" collapsed="false">
      <c r="A45" s="1" t="n">
        <v>39498</v>
      </c>
      <c r="C45" s="1" t="s">
        <v>373</v>
      </c>
      <c r="I45" s="1" t="n">
        <v>202100</v>
      </c>
      <c r="J45" s="1" t="n">
        <v>-256574.55</v>
      </c>
      <c r="L45" s="6" t="s">
        <v>301</v>
      </c>
      <c r="M45" s="480" t="n">
        <v>1000</v>
      </c>
      <c r="N45" s="481" t="n">
        <f aca="false">M45*-1000</f>
        <v>-1000000</v>
      </c>
      <c r="P45" s="6"/>
      <c r="Q45" s="6"/>
      <c r="R45" s="6" t="s">
        <v>256</v>
      </c>
      <c r="S45" s="6" t="s">
        <v>374</v>
      </c>
      <c r="T45" s="210" t="n">
        <f aca="false">SUMIFS($J$38:$J$1376,$A$38:$A$1376,"39498",$C$38:$C$1376,LEFT('Research Grant'!$D$28,2)&amp;'INDI FO 2021'!$P45)</f>
        <v>0</v>
      </c>
    </row>
    <row r="46" customFormat="false" ht="14.25" hidden="false" customHeight="false" outlineLevel="0" collapsed="false">
      <c r="A46" s="1" t="n">
        <v>39498</v>
      </c>
      <c r="C46" s="1" t="s">
        <v>375</v>
      </c>
      <c r="I46" s="1" t="n">
        <v>202100</v>
      </c>
      <c r="J46" s="1" t="n">
        <v>-5119428.24</v>
      </c>
      <c r="L46" s="6" t="s">
        <v>303</v>
      </c>
      <c r="M46" s="480" t="n">
        <v>0</v>
      </c>
      <c r="N46" s="481" t="n">
        <f aca="false">M46*-1000</f>
        <v>-0</v>
      </c>
      <c r="P46" s="6"/>
      <c r="Q46" s="6"/>
      <c r="R46" s="6" t="s">
        <v>257</v>
      </c>
      <c r="S46" s="6" t="s">
        <v>376</v>
      </c>
      <c r="T46" s="210" t="n">
        <f aca="false">SUMIFS($J$38:$J$1376,$A$38:$A$1376,"39498",$C$38:$C$1376,LEFT('Research Grant'!$D$28,2)&amp;'INDI FO 2021'!$P46)</f>
        <v>0</v>
      </c>
    </row>
    <row r="47" customFormat="false" ht="14.25" hidden="false" customHeight="false" outlineLevel="0" collapsed="false">
      <c r="A47" s="1" t="n">
        <v>39498</v>
      </c>
      <c r="C47" s="1" t="s">
        <v>377</v>
      </c>
      <c r="I47" s="1" t="n">
        <v>202100</v>
      </c>
      <c r="J47" s="1" t="n">
        <v>-276886.55</v>
      </c>
      <c r="L47" s="6" t="s">
        <v>378</v>
      </c>
      <c r="M47" s="480" t="n">
        <v>0</v>
      </c>
      <c r="N47" s="481" t="n">
        <f aca="false">M47*-1000</f>
        <v>-0</v>
      </c>
    </row>
    <row r="48" customFormat="false" ht="14.25" hidden="false" customHeight="false" outlineLevel="0" collapsed="false">
      <c r="A48" s="1" t="n">
        <v>39498</v>
      </c>
      <c r="C48" s="1" t="s">
        <v>379</v>
      </c>
      <c r="I48" s="1" t="n">
        <v>202100</v>
      </c>
      <c r="J48" s="1" t="n">
        <v>-217633.46</v>
      </c>
      <c r="L48" s="6" t="s">
        <v>305</v>
      </c>
      <c r="M48" s="480" t="n">
        <v>0</v>
      </c>
      <c r="N48" s="481" t="n">
        <f aca="false">M48*-1000</f>
        <v>-0</v>
      </c>
    </row>
    <row r="49" customFormat="false" ht="14.25" hidden="false" customHeight="false" outlineLevel="0" collapsed="false">
      <c r="A49" s="1" t="n">
        <v>39498</v>
      </c>
      <c r="C49" s="1" t="s">
        <v>380</v>
      </c>
      <c r="I49" s="1" t="n">
        <v>202100</v>
      </c>
      <c r="J49" s="1" t="n">
        <v>-6183913.36</v>
      </c>
      <c r="L49" s="6" t="s">
        <v>307</v>
      </c>
      <c r="M49" s="480" t="n">
        <v>2200</v>
      </c>
      <c r="N49" s="481" t="n">
        <f aca="false">M49*-1000</f>
        <v>-2200000</v>
      </c>
      <c r="P49" s="232"/>
    </row>
    <row r="50" customFormat="false" ht="14.25" hidden="false" customHeight="false" outlineLevel="0" collapsed="false">
      <c r="A50" s="1" t="n">
        <v>39498</v>
      </c>
      <c r="C50" s="1" t="s">
        <v>381</v>
      </c>
      <c r="I50" s="1" t="n">
        <v>202100</v>
      </c>
      <c r="J50" s="1" t="n">
        <v>-23424.22</v>
      </c>
      <c r="L50" s="6" t="s">
        <v>309</v>
      </c>
      <c r="M50" s="480" t="n">
        <v>1000</v>
      </c>
      <c r="N50" s="481" t="n">
        <f aca="false">M50*-1000</f>
        <v>-1000000</v>
      </c>
      <c r="P50" s="232"/>
    </row>
    <row r="51" customFormat="false" ht="14.25" hidden="false" customHeight="false" outlineLevel="0" collapsed="false">
      <c r="A51" s="1" t="n">
        <v>39498</v>
      </c>
      <c r="C51" s="1" t="s">
        <v>382</v>
      </c>
      <c r="I51" s="1" t="n">
        <v>202100</v>
      </c>
      <c r="J51" s="1" t="n">
        <v>-437994.58</v>
      </c>
      <c r="L51" s="6" t="s">
        <v>311</v>
      </c>
      <c r="M51" s="480" t="n">
        <v>831</v>
      </c>
      <c r="N51" s="481" t="n">
        <f aca="false">M51*-1000</f>
        <v>-831000</v>
      </c>
      <c r="P51" s="232"/>
    </row>
    <row r="52" customFormat="false" ht="14.25" hidden="false" customHeight="false" outlineLevel="0" collapsed="false">
      <c r="A52" s="1" t="n">
        <v>39498</v>
      </c>
      <c r="C52" s="1" t="s">
        <v>383</v>
      </c>
      <c r="I52" s="1" t="n">
        <v>202100</v>
      </c>
      <c r="J52" s="1" t="n">
        <v>-165000</v>
      </c>
      <c r="L52" s="6" t="s">
        <v>313</v>
      </c>
      <c r="M52" s="480" t="n">
        <v>0</v>
      </c>
      <c r="N52" s="481" t="n">
        <f aca="false">M52*-1000</f>
        <v>-0</v>
      </c>
      <c r="P52" s="232"/>
    </row>
    <row r="53" customFormat="false" ht="14.25" hidden="false" customHeight="false" outlineLevel="0" collapsed="false">
      <c r="A53" s="1" t="n">
        <v>39498</v>
      </c>
      <c r="C53" s="1" t="s">
        <v>384</v>
      </c>
      <c r="I53" s="1" t="n">
        <v>202100</v>
      </c>
      <c r="J53" s="1" t="n">
        <v>-721375</v>
      </c>
      <c r="L53" s="6" t="s">
        <v>315</v>
      </c>
      <c r="M53" s="480" t="n">
        <v>0</v>
      </c>
      <c r="N53" s="481" t="n">
        <f aca="false">M53*-1000</f>
        <v>-0</v>
      </c>
      <c r="P53" s="232"/>
    </row>
    <row r="54" customFormat="false" ht="14.25" hidden="false" customHeight="false" outlineLevel="0" collapsed="false">
      <c r="A54" s="1" t="n">
        <v>39498</v>
      </c>
      <c r="C54" s="1" t="s">
        <v>385</v>
      </c>
      <c r="I54" s="1" t="n">
        <v>202100</v>
      </c>
      <c r="J54" s="1" t="n">
        <v>-2589315</v>
      </c>
      <c r="L54" s="6" t="s">
        <v>317</v>
      </c>
      <c r="M54" s="482" t="n">
        <v>502</v>
      </c>
      <c r="N54" s="481" t="n">
        <f aca="false">M54*-1000</f>
        <v>-502000</v>
      </c>
      <c r="P54" s="232"/>
    </row>
    <row r="55" customFormat="false" ht="14.25" hidden="false" customHeight="false" outlineLevel="0" collapsed="false">
      <c r="A55" s="1" t="n">
        <v>39498</v>
      </c>
      <c r="C55" s="1" t="s">
        <v>386</v>
      </c>
      <c r="I55" s="1" t="n">
        <v>202100</v>
      </c>
      <c r="J55" s="1" t="n">
        <v>-773874</v>
      </c>
      <c r="L55" s="6" t="s">
        <v>319</v>
      </c>
      <c r="M55" s="482" t="n">
        <v>3364</v>
      </c>
      <c r="N55" s="481" t="n">
        <f aca="false">M55*-1000</f>
        <v>-3364000</v>
      </c>
      <c r="P55" s="232"/>
    </row>
    <row r="56" customFormat="false" ht="14.25" hidden="false" customHeight="false" outlineLevel="0" collapsed="false">
      <c r="A56" s="1" t="n">
        <v>39498</v>
      </c>
      <c r="C56" s="1" t="s">
        <v>387</v>
      </c>
      <c r="I56" s="1" t="n">
        <v>202100</v>
      </c>
      <c r="J56" s="1" t="n">
        <v>-1227016</v>
      </c>
      <c r="L56" s="6" t="s">
        <v>321</v>
      </c>
      <c r="M56" s="480" t="n">
        <v>0</v>
      </c>
      <c r="N56" s="481" t="n">
        <f aca="false">M56*-1000</f>
        <v>-0</v>
      </c>
      <c r="P56" s="232"/>
    </row>
    <row r="57" customFormat="false" ht="14.25" hidden="false" customHeight="false" outlineLevel="0" collapsed="false">
      <c r="A57" s="1" t="n">
        <v>39498</v>
      </c>
      <c r="C57" s="1" t="s">
        <v>388</v>
      </c>
      <c r="I57" s="1" t="n">
        <v>202100</v>
      </c>
      <c r="J57" s="1" t="n">
        <v>-527280.4</v>
      </c>
      <c r="L57" s="6" t="s">
        <v>323</v>
      </c>
      <c r="M57" s="480" t="n">
        <v>2299</v>
      </c>
      <c r="N57" s="481" t="n">
        <f aca="false">M57*-1000</f>
        <v>-2299000</v>
      </c>
      <c r="P57" s="232"/>
    </row>
    <row r="58" customFormat="false" ht="14.25" hidden="false" customHeight="false" outlineLevel="0" collapsed="false">
      <c r="A58" s="1" t="n">
        <v>39498</v>
      </c>
      <c r="C58" s="1" t="s">
        <v>389</v>
      </c>
      <c r="I58" s="1" t="n">
        <v>202100</v>
      </c>
      <c r="J58" s="1" t="n">
        <v>-3095531.6</v>
      </c>
      <c r="L58" s="6" t="s">
        <v>325</v>
      </c>
      <c r="M58" s="482" t="n">
        <v>1040</v>
      </c>
      <c r="N58" s="481" t="n">
        <f aca="false">M58*-1000</f>
        <v>-1040000</v>
      </c>
      <c r="P58" s="232"/>
    </row>
    <row r="59" customFormat="false" ht="14.25" hidden="false" customHeight="false" outlineLevel="0" collapsed="false">
      <c r="A59" s="1" t="n">
        <v>39498</v>
      </c>
      <c r="C59" s="1" t="s">
        <v>390</v>
      </c>
      <c r="I59" s="1" t="n">
        <v>202100</v>
      </c>
      <c r="J59" s="1" t="n">
        <v>-290221</v>
      </c>
      <c r="L59" s="6" t="s">
        <v>327</v>
      </c>
      <c r="M59" s="480" t="n">
        <v>174</v>
      </c>
      <c r="N59" s="481" t="n">
        <f aca="false">M59*-1000</f>
        <v>-174000</v>
      </c>
      <c r="P59" s="232"/>
    </row>
    <row r="60" customFormat="false" ht="14.25" hidden="false" customHeight="false" outlineLevel="0" collapsed="false">
      <c r="A60" s="1" t="n">
        <v>39498</v>
      </c>
      <c r="C60" s="1" t="s">
        <v>391</v>
      </c>
      <c r="I60" s="1" t="n">
        <v>202100</v>
      </c>
      <c r="J60" s="1" t="n">
        <v>-905250</v>
      </c>
      <c r="L60" s="6" t="s">
        <v>329</v>
      </c>
      <c r="M60" s="480" t="n">
        <v>0</v>
      </c>
      <c r="N60" s="481" t="n">
        <f aca="false">M60*-1000</f>
        <v>-0</v>
      </c>
      <c r="P60" s="232"/>
    </row>
    <row r="61" customFormat="false" ht="14.25" hidden="false" customHeight="false" outlineLevel="0" collapsed="false">
      <c r="A61" s="1" t="n">
        <v>39498</v>
      </c>
      <c r="C61" s="1" t="s">
        <v>392</v>
      </c>
      <c r="I61" s="1" t="n">
        <v>202100</v>
      </c>
      <c r="J61" s="1" t="n">
        <v>-474690.79</v>
      </c>
      <c r="L61" s="6" t="s">
        <v>331</v>
      </c>
      <c r="M61" s="480" t="n">
        <v>0</v>
      </c>
      <c r="N61" s="481" t="n">
        <f aca="false">M61*-1000</f>
        <v>-0</v>
      </c>
      <c r="P61" s="232"/>
    </row>
    <row r="62" customFormat="false" ht="14.25" hidden="false" customHeight="false" outlineLevel="0" collapsed="false">
      <c r="A62" s="1" t="n">
        <v>39498</v>
      </c>
      <c r="C62" s="1" t="s">
        <v>393</v>
      </c>
      <c r="I62" s="1" t="n">
        <v>202100</v>
      </c>
      <c r="J62" s="1" t="n">
        <v>-3240346.52</v>
      </c>
      <c r="L62" s="6" t="s">
        <v>333</v>
      </c>
      <c r="M62" s="480" t="n">
        <v>0</v>
      </c>
      <c r="N62" s="481" t="n">
        <f aca="false">M62*-1000</f>
        <v>-0</v>
      </c>
      <c r="P62" s="232"/>
    </row>
    <row r="63" customFormat="false" ht="14.25" hidden="false" customHeight="false" outlineLevel="0" collapsed="false">
      <c r="A63" s="1" t="n">
        <v>39498</v>
      </c>
      <c r="C63" s="1" t="s">
        <v>394</v>
      </c>
      <c r="I63" s="1" t="n">
        <v>202100</v>
      </c>
      <c r="J63" s="1" t="n">
        <v>-564957.1</v>
      </c>
      <c r="L63" s="6" t="s">
        <v>336</v>
      </c>
      <c r="M63" s="480" t="n">
        <v>80</v>
      </c>
      <c r="N63" s="481" t="n">
        <f aca="false">M63*-1000</f>
        <v>-80000</v>
      </c>
      <c r="P63" s="232"/>
    </row>
    <row r="64" customFormat="false" ht="14.25" hidden="false" customHeight="false" outlineLevel="0" collapsed="false">
      <c r="A64" s="1" t="n">
        <v>39498</v>
      </c>
      <c r="C64" s="1" t="s">
        <v>395</v>
      </c>
      <c r="I64" s="1" t="n">
        <v>202100</v>
      </c>
      <c r="J64" s="1" t="n">
        <v>-308829.66</v>
      </c>
      <c r="P64" s="232"/>
    </row>
    <row r="65" customFormat="false" ht="14.25" hidden="false" customHeight="false" outlineLevel="0" collapsed="false">
      <c r="A65" s="1" t="n">
        <v>39498</v>
      </c>
      <c r="C65" s="1" t="s">
        <v>396</v>
      </c>
      <c r="I65" s="1" t="n">
        <v>202100</v>
      </c>
      <c r="J65" s="1" t="n">
        <v>-446002.29</v>
      </c>
      <c r="P65" s="232"/>
    </row>
    <row r="66" customFormat="false" ht="14.25" hidden="false" customHeight="false" outlineLevel="0" collapsed="false">
      <c r="A66" s="1" t="n">
        <v>39498</v>
      </c>
      <c r="C66" s="1" t="s">
        <v>397</v>
      </c>
      <c r="I66" s="1" t="n">
        <v>202100</v>
      </c>
      <c r="J66" s="1" t="n">
        <v>-5068020.62</v>
      </c>
      <c r="P66" s="232"/>
    </row>
    <row r="67" customFormat="false" ht="14.25" hidden="false" customHeight="false" outlineLevel="0" collapsed="false">
      <c r="A67" s="1" t="n">
        <v>39498</v>
      </c>
      <c r="C67" s="1" t="s">
        <v>398</v>
      </c>
      <c r="I67" s="1" t="n">
        <v>202100</v>
      </c>
      <c r="J67" s="1" t="n">
        <v>-59300</v>
      </c>
      <c r="P67" s="232"/>
    </row>
    <row r="68" customFormat="false" ht="14.25" hidden="false" customHeight="false" outlineLevel="0" collapsed="false">
      <c r="A68" s="1" t="n">
        <v>39498</v>
      </c>
      <c r="C68" s="1" t="s">
        <v>399</v>
      </c>
      <c r="I68" s="1" t="n">
        <v>202100</v>
      </c>
      <c r="J68" s="1" t="n">
        <v>-2776200</v>
      </c>
      <c r="P68" s="232"/>
    </row>
    <row r="69" customFormat="false" ht="14.25" hidden="false" customHeight="false" outlineLevel="0" collapsed="false">
      <c r="A69" s="1" t="n">
        <v>39498</v>
      </c>
      <c r="C69" s="1" t="s">
        <v>400</v>
      </c>
      <c r="I69" s="1" t="n">
        <v>202100</v>
      </c>
      <c r="J69" s="1" t="n">
        <v>-158900</v>
      </c>
      <c r="P69" s="232"/>
    </row>
    <row r="70" customFormat="false" ht="14.25" hidden="false" customHeight="false" outlineLevel="0" collapsed="false">
      <c r="A70" s="1" t="n">
        <v>39498</v>
      </c>
      <c r="C70" s="1" t="s">
        <v>401</v>
      </c>
      <c r="I70" s="1" t="n">
        <v>202100</v>
      </c>
      <c r="J70" s="1" t="n">
        <v>-692600</v>
      </c>
      <c r="P70" s="232"/>
    </row>
    <row r="71" customFormat="false" ht="14.25" hidden="false" customHeight="false" outlineLevel="0" collapsed="false">
      <c r="A71" s="1" t="n">
        <v>39498</v>
      </c>
      <c r="C71" s="1" t="s">
        <v>402</v>
      </c>
      <c r="I71" s="1" t="n">
        <v>202100</v>
      </c>
      <c r="J71" s="1" t="n">
        <v>-133600</v>
      </c>
      <c r="P71" s="232"/>
    </row>
    <row r="72" customFormat="false" ht="14.25" hidden="false" customHeight="false" outlineLevel="0" collapsed="false">
      <c r="A72" s="1" t="n">
        <v>39498</v>
      </c>
      <c r="C72" s="1" t="s">
        <v>403</v>
      </c>
      <c r="I72" s="1" t="n">
        <v>202100</v>
      </c>
      <c r="J72" s="1" t="n">
        <v>-5902900</v>
      </c>
      <c r="P72" s="232"/>
    </row>
    <row r="73" customFormat="false" ht="14.25" hidden="false" customHeight="false" outlineLevel="0" collapsed="false">
      <c r="A73" s="1" t="n">
        <v>39498</v>
      </c>
      <c r="C73" s="1" t="s">
        <v>404</v>
      </c>
      <c r="I73" s="1" t="n">
        <v>202100</v>
      </c>
      <c r="J73" s="1" t="n">
        <v>-14300</v>
      </c>
      <c r="P73" s="232"/>
    </row>
    <row r="74" customFormat="false" ht="14.25" hidden="false" customHeight="false" outlineLevel="0" collapsed="false">
      <c r="A74" s="1" t="n">
        <v>39498</v>
      </c>
      <c r="C74" s="1" t="s">
        <v>405</v>
      </c>
      <c r="I74" s="1" t="n">
        <v>202100</v>
      </c>
      <c r="J74" s="1" t="n">
        <v>-287700</v>
      </c>
      <c r="P74" s="232"/>
    </row>
    <row r="75" customFormat="false" ht="14.25" hidden="false" customHeight="false" outlineLevel="0" collapsed="false">
      <c r="A75" s="1" t="n">
        <v>39498</v>
      </c>
      <c r="C75" s="1" t="s">
        <v>406</v>
      </c>
      <c r="I75" s="1" t="n">
        <v>202100</v>
      </c>
      <c r="J75" s="1" t="n">
        <v>-113443.2</v>
      </c>
      <c r="P75" s="232"/>
    </row>
    <row r="76" customFormat="false" ht="14.25" hidden="false" customHeight="false" outlineLevel="0" collapsed="false">
      <c r="A76" s="1" t="n">
        <v>39498</v>
      </c>
      <c r="C76" s="1" t="s">
        <v>407</v>
      </c>
      <c r="I76" s="1" t="n">
        <v>202100</v>
      </c>
      <c r="J76" s="1" t="n">
        <v>-3824788.8</v>
      </c>
      <c r="P76" s="232"/>
    </row>
    <row r="77" customFormat="false" ht="14.25" hidden="false" customHeight="false" outlineLevel="0" collapsed="false">
      <c r="A77" s="1" t="n">
        <v>39498</v>
      </c>
      <c r="C77" s="1" t="s">
        <v>408</v>
      </c>
      <c r="I77" s="1" t="n">
        <v>202100</v>
      </c>
      <c r="J77" s="1" t="n">
        <v>-1528429.6</v>
      </c>
      <c r="P77" s="232"/>
    </row>
    <row r="78" customFormat="false" ht="14.25" hidden="false" customHeight="false" outlineLevel="0" collapsed="false">
      <c r="A78" s="1" t="n">
        <v>39498</v>
      </c>
      <c r="C78" s="1" t="s">
        <v>409</v>
      </c>
      <c r="I78" s="1" t="n">
        <v>202100</v>
      </c>
      <c r="J78" s="1" t="n">
        <v>-1195150.4</v>
      </c>
      <c r="P78" s="232"/>
    </row>
    <row r="79" customFormat="false" ht="14.25" hidden="false" customHeight="false" outlineLevel="0" collapsed="false">
      <c r="A79" s="1" t="n">
        <v>39498</v>
      </c>
      <c r="C79" s="1" t="s">
        <v>410</v>
      </c>
      <c r="I79" s="1" t="n">
        <v>202100</v>
      </c>
      <c r="J79" s="1" t="n">
        <v>-111384</v>
      </c>
      <c r="P79" s="232"/>
    </row>
    <row r="80" customFormat="false" ht="14.25" hidden="false" customHeight="false" outlineLevel="0" collapsed="false">
      <c r="A80" s="1" t="n">
        <v>39498</v>
      </c>
      <c r="C80" s="1" t="s">
        <v>411</v>
      </c>
      <c r="I80" s="1" t="n">
        <v>202100</v>
      </c>
      <c r="J80" s="1" t="n">
        <v>-4991324</v>
      </c>
      <c r="P80" s="232"/>
    </row>
    <row r="81" customFormat="false" ht="14.25" hidden="false" customHeight="false" outlineLevel="0" collapsed="false">
      <c r="A81" s="1" t="n">
        <v>39498</v>
      </c>
      <c r="C81" s="1" t="s">
        <v>412</v>
      </c>
      <c r="I81" s="1" t="n">
        <v>202100</v>
      </c>
      <c r="J81" s="1" t="n">
        <v>-2484584</v>
      </c>
      <c r="P81" s="232"/>
    </row>
    <row r="82" customFormat="false" ht="14.25" hidden="false" customHeight="false" outlineLevel="0" collapsed="false">
      <c r="A82" s="1" t="n">
        <v>39498</v>
      </c>
      <c r="C82" s="1" t="s">
        <v>413</v>
      </c>
      <c r="I82" s="1" t="n">
        <v>202100</v>
      </c>
      <c r="J82" s="1" t="n">
        <v>-573140</v>
      </c>
      <c r="P82" s="232"/>
    </row>
    <row r="83" customFormat="false" ht="14.25" hidden="false" customHeight="false" outlineLevel="0" collapsed="false">
      <c r="A83" s="1" t="n">
        <v>39498</v>
      </c>
      <c r="C83" s="1" t="s">
        <v>414</v>
      </c>
      <c r="I83" s="1" t="n">
        <v>202100</v>
      </c>
      <c r="J83" s="1" t="n">
        <v>-2714360</v>
      </c>
      <c r="P83" s="232"/>
    </row>
    <row r="84" customFormat="false" ht="14.25" hidden="false" customHeight="false" outlineLevel="0" collapsed="false">
      <c r="A84" s="1" t="n">
        <v>39498</v>
      </c>
      <c r="C84" s="1" t="s">
        <v>415</v>
      </c>
      <c r="I84" s="1" t="n">
        <v>202100</v>
      </c>
      <c r="J84" s="1" t="n">
        <v>-362800</v>
      </c>
      <c r="P84" s="232"/>
    </row>
    <row r="85" customFormat="false" ht="14.25" hidden="false" customHeight="false" outlineLevel="0" collapsed="false">
      <c r="A85" s="1" t="n">
        <v>39498</v>
      </c>
      <c r="C85" s="1" t="s">
        <v>416</v>
      </c>
      <c r="I85" s="1" t="n">
        <v>202100</v>
      </c>
      <c r="J85" s="1" t="n">
        <v>-519595</v>
      </c>
      <c r="P85" s="232"/>
    </row>
    <row r="86" customFormat="false" ht="14.25" hidden="false" customHeight="false" outlineLevel="0" collapsed="false">
      <c r="A86" s="1" t="n">
        <v>39498</v>
      </c>
      <c r="C86" s="1" t="s">
        <v>417</v>
      </c>
      <c r="I86" s="1" t="n">
        <v>202100</v>
      </c>
      <c r="J86" s="1" t="n">
        <v>-2510855</v>
      </c>
      <c r="P86" s="232"/>
    </row>
    <row r="87" customFormat="false" ht="14.25" hidden="false" customHeight="false" outlineLevel="0" collapsed="false">
      <c r="A87" s="1" t="n">
        <v>39498</v>
      </c>
      <c r="C87" s="1" t="s">
        <v>418</v>
      </c>
      <c r="I87" s="1" t="n">
        <v>202100</v>
      </c>
      <c r="J87" s="1" t="n">
        <v>-106200</v>
      </c>
      <c r="P87" s="232"/>
    </row>
    <row r="88" customFormat="false" ht="14.25" hidden="false" customHeight="false" outlineLevel="0" collapsed="false">
      <c r="A88" s="1" t="n">
        <v>39498</v>
      </c>
      <c r="C88" s="1" t="s">
        <v>419</v>
      </c>
      <c r="I88" s="1" t="n">
        <v>202100</v>
      </c>
      <c r="J88" s="1" t="n">
        <v>-1021175</v>
      </c>
      <c r="P88" s="232"/>
    </row>
    <row r="89" customFormat="false" ht="14.25" hidden="false" customHeight="false" outlineLevel="0" collapsed="false">
      <c r="A89" s="1" t="n">
        <v>39498</v>
      </c>
      <c r="C89" s="1" t="s">
        <v>420</v>
      </c>
      <c r="I89" s="1" t="n">
        <v>202100</v>
      </c>
      <c r="J89" s="1" t="n">
        <v>-158750</v>
      </c>
      <c r="P89" s="232"/>
    </row>
    <row r="90" customFormat="false" ht="14.25" hidden="false" customHeight="false" outlineLevel="0" collapsed="false">
      <c r="A90" s="1" t="n">
        <v>39498</v>
      </c>
      <c r="C90" s="1" t="s">
        <v>421</v>
      </c>
      <c r="I90" s="1" t="n">
        <v>202100</v>
      </c>
      <c r="J90" s="1" t="n">
        <v>-2274750</v>
      </c>
      <c r="P90" s="232"/>
    </row>
    <row r="91" customFormat="false" ht="14.25" hidden="false" customHeight="false" outlineLevel="0" collapsed="false">
      <c r="A91" s="1" t="n">
        <v>39498</v>
      </c>
      <c r="C91" s="1" t="s">
        <v>422</v>
      </c>
      <c r="I91" s="1" t="n">
        <v>202100</v>
      </c>
      <c r="J91" s="1" t="n">
        <v>-414450</v>
      </c>
      <c r="P91" s="232"/>
    </row>
    <row r="92" customFormat="false" ht="14.25" hidden="false" customHeight="false" outlineLevel="0" collapsed="false">
      <c r="A92" s="1" t="n">
        <v>39498</v>
      </c>
      <c r="C92" s="1" t="s">
        <v>423</v>
      </c>
      <c r="I92" s="1" t="n">
        <v>202100</v>
      </c>
      <c r="J92" s="1" t="n">
        <v>-792050</v>
      </c>
      <c r="P92" s="232"/>
    </row>
    <row r="93" customFormat="false" ht="14.25" hidden="false" customHeight="false" outlineLevel="0" collapsed="false">
      <c r="A93" s="1" t="n">
        <v>39498</v>
      </c>
      <c r="C93" s="1" t="s">
        <v>424</v>
      </c>
      <c r="I93" s="1" t="n">
        <v>202100</v>
      </c>
      <c r="J93" s="1" t="n">
        <v>-528750</v>
      </c>
      <c r="P93" s="232"/>
    </row>
    <row r="94" customFormat="false" ht="14.25" hidden="false" customHeight="false" outlineLevel="0" collapsed="false">
      <c r="A94" s="1" t="n">
        <v>39498</v>
      </c>
      <c r="C94" s="1" t="s">
        <v>425</v>
      </c>
      <c r="I94" s="1" t="n">
        <v>202100</v>
      </c>
      <c r="J94" s="1" t="n">
        <v>-9483750</v>
      </c>
      <c r="P94" s="232"/>
    </row>
    <row r="95" customFormat="false" ht="14.25" hidden="false" customHeight="false" outlineLevel="0" collapsed="false">
      <c r="A95" s="1" t="n">
        <v>39498</v>
      </c>
      <c r="C95" s="1" t="s">
        <v>426</v>
      </c>
      <c r="I95" s="1" t="n">
        <v>202100</v>
      </c>
      <c r="J95" s="1" t="n">
        <v>-206750</v>
      </c>
      <c r="P95" s="232"/>
    </row>
    <row r="96" customFormat="false" ht="14.25" hidden="false" customHeight="false" outlineLevel="0" collapsed="false">
      <c r="A96" s="1" t="n">
        <v>39498</v>
      </c>
      <c r="C96" s="1" t="s">
        <v>427</v>
      </c>
      <c r="I96" s="1" t="n">
        <v>202100</v>
      </c>
      <c r="J96" s="1" t="n">
        <v>-2373750</v>
      </c>
      <c r="P96" s="232"/>
    </row>
    <row r="97" customFormat="false" ht="14.25" hidden="false" customHeight="false" outlineLevel="0" collapsed="false">
      <c r="A97" s="1" t="n">
        <v>39498</v>
      </c>
      <c r="C97" s="1" t="s">
        <v>428</v>
      </c>
      <c r="I97" s="1" t="n">
        <v>202100</v>
      </c>
      <c r="J97" s="1" t="n">
        <v>-399750</v>
      </c>
      <c r="P97" s="232"/>
    </row>
    <row r="98" customFormat="false" ht="14.25" hidden="false" customHeight="false" outlineLevel="0" collapsed="false">
      <c r="A98" s="1" t="n">
        <v>39498</v>
      </c>
      <c r="C98" s="1" t="s">
        <v>429</v>
      </c>
      <c r="I98" s="1" t="n">
        <v>202100</v>
      </c>
      <c r="J98" s="1" t="n">
        <v>-7607250</v>
      </c>
      <c r="P98" s="232"/>
    </row>
    <row r="99" customFormat="false" ht="14.25" hidden="false" customHeight="false" outlineLevel="0" collapsed="false">
      <c r="A99" s="1" t="n">
        <v>39498</v>
      </c>
      <c r="C99" s="1" t="s">
        <v>430</v>
      </c>
      <c r="I99" s="1" t="n">
        <v>202100</v>
      </c>
      <c r="J99" s="1" t="n">
        <v>-1424200</v>
      </c>
    </row>
    <row r="100" customFormat="false" ht="14.25" hidden="false" customHeight="false" outlineLevel="0" collapsed="false">
      <c r="A100" s="1" t="n">
        <v>39498</v>
      </c>
      <c r="C100" s="1" t="s">
        <v>431</v>
      </c>
      <c r="I100" s="1" t="n">
        <v>202100</v>
      </c>
      <c r="J100" s="1" t="n">
        <v>-28440</v>
      </c>
    </row>
    <row r="101" customFormat="false" ht="14.25" hidden="false" customHeight="false" outlineLevel="0" collapsed="false">
      <c r="A101" s="1" t="n">
        <v>39498</v>
      </c>
      <c r="C101" s="1" t="s">
        <v>432</v>
      </c>
      <c r="I101" s="1" t="n">
        <v>202100</v>
      </c>
      <c r="J101" s="1" t="n">
        <v>-930360</v>
      </c>
    </row>
    <row r="102" customFormat="false" ht="14.25" hidden="false" customHeight="false" outlineLevel="0" collapsed="false">
      <c r="A102" s="1" t="n">
        <v>39498</v>
      </c>
      <c r="C102" s="1" t="s">
        <v>433</v>
      </c>
      <c r="I102" s="1" t="n">
        <v>202100</v>
      </c>
      <c r="J102" s="1" t="n">
        <v>-3371000</v>
      </c>
    </row>
    <row r="103" customFormat="false" ht="14.25" hidden="false" customHeight="false" outlineLevel="0" collapsed="false">
      <c r="A103" s="1" t="n">
        <v>39498</v>
      </c>
      <c r="C103" s="1" t="s">
        <v>434</v>
      </c>
      <c r="I103" s="1" t="n">
        <v>202100</v>
      </c>
      <c r="J103" s="1" t="n">
        <v>-2599150</v>
      </c>
    </row>
    <row r="104" customFormat="false" ht="14.25" hidden="false" customHeight="false" outlineLevel="0" collapsed="false">
      <c r="A104" s="1" t="n">
        <v>39498</v>
      </c>
      <c r="C104" s="1" t="s">
        <v>435</v>
      </c>
      <c r="I104" s="1" t="n">
        <v>202100</v>
      </c>
      <c r="J104" s="1" t="n">
        <v>-370000</v>
      </c>
    </row>
    <row r="105" customFormat="false" ht="14.25" hidden="false" customHeight="false" outlineLevel="0" collapsed="false">
      <c r="A105" s="1" t="n">
        <v>39498</v>
      </c>
      <c r="C105" s="1" t="s">
        <v>436</v>
      </c>
      <c r="I105" s="1" t="n">
        <v>202100</v>
      </c>
      <c r="J105" s="1" t="n">
        <v>-370000</v>
      </c>
    </row>
    <row r="106" customFormat="false" ht="14.25" hidden="false" customHeight="false" outlineLevel="0" collapsed="false">
      <c r="A106" s="1" t="n">
        <v>39498</v>
      </c>
      <c r="C106" s="1" t="s">
        <v>437</v>
      </c>
      <c r="I106" s="1" t="n">
        <v>202100</v>
      </c>
      <c r="J106" s="1" t="n">
        <v>-466000</v>
      </c>
    </row>
    <row r="107" customFormat="false" ht="14.25" hidden="false" customHeight="false" outlineLevel="0" collapsed="false">
      <c r="A107" s="1" t="n">
        <v>39498</v>
      </c>
      <c r="C107" s="1" t="s">
        <v>438</v>
      </c>
      <c r="I107" s="1" t="n">
        <v>202100</v>
      </c>
      <c r="J107" s="1" t="n">
        <v>-700000</v>
      </c>
    </row>
    <row r="108" customFormat="false" ht="14.25" hidden="false" customHeight="false" outlineLevel="0" collapsed="false">
      <c r="A108" s="1" t="n">
        <v>39498</v>
      </c>
      <c r="C108" s="1" t="s">
        <v>439</v>
      </c>
      <c r="I108" s="1" t="n">
        <v>202100</v>
      </c>
      <c r="J108" s="1" t="n">
        <v>-535750</v>
      </c>
    </row>
    <row r="109" customFormat="false" ht="14.25" hidden="false" customHeight="false" outlineLevel="0" collapsed="false">
      <c r="A109" s="1" t="n">
        <v>39498</v>
      </c>
      <c r="C109" s="1" t="s">
        <v>440</v>
      </c>
      <c r="I109" s="1" t="n">
        <v>202100</v>
      </c>
      <c r="J109" s="1" t="n">
        <v>-1868000</v>
      </c>
    </row>
    <row r="110" customFormat="false" ht="14.25" hidden="false" customHeight="false" outlineLevel="0" collapsed="false">
      <c r="A110" s="1" t="n">
        <v>39498</v>
      </c>
      <c r="C110" s="1" t="s">
        <v>441</v>
      </c>
      <c r="I110" s="1" t="n">
        <v>202100</v>
      </c>
      <c r="J110" s="1" t="n">
        <v>-269250</v>
      </c>
    </row>
    <row r="111" customFormat="false" ht="14.25" hidden="false" customHeight="false" outlineLevel="0" collapsed="false">
      <c r="A111" s="1" t="n">
        <v>39498</v>
      </c>
      <c r="C111" s="1" t="s">
        <v>442</v>
      </c>
      <c r="I111" s="1" t="n">
        <v>202100</v>
      </c>
      <c r="J111" s="1" t="n">
        <v>-436000</v>
      </c>
    </row>
    <row r="112" customFormat="false" ht="14.25" hidden="false" customHeight="false" outlineLevel="0" collapsed="false">
      <c r="A112" s="1" t="n">
        <v>39498</v>
      </c>
      <c r="C112" s="1" t="s">
        <v>443</v>
      </c>
      <c r="I112" s="1" t="n">
        <v>202100</v>
      </c>
      <c r="J112" s="1" t="n">
        <v>-2178800</v>
      </c>
    </row>
    <row r="113" customFormat="false" ht="14.25" hidden="false" customHeight="false" outlineLevel="0" collapsed="false">
      <c r="A113" s="1" t="n">
        <v>39498</v>
      </c>
      <c r="C113" s="1" t="s">
        <v>444</v>
      </c>
      <c r="I113" s="1" t="n">
        <v>202100</v>
      </c>
      <c r="J113" s="1" t="n">
        <v>-3949150</v>
      </c>
    </row>
    <row r="114" customFormat="false" ht="14.25" hidden="false" customHeight="false" outlineLevel="0" collapsed="false">
      <c r="A114" s="1" t="n">
        <v>39498</v>
      </c>
      <c r="C114" s="1" t="s">
        <v>445</v>
      </c>
      <c r="I114" s="1" t="n">
        <v>202100</v>
      </c>
      <c r="J114" s="1" t="n">
        <v>-965000</v>
      </c>
    </row>
    <row r="115" customFormat="false" ht="14.25" hidden="false" customHeight="false" outlineLevel="0" collapsed="false">
      <c r="A115" s="1" t="n">
        <v>39498</v>
      </c>
      <c r="C115" s="1" t="s">
        <v>446</v>
      </c>
      <c r="I115" s="1" t="n">
        <v>202100</v>
      </c>
      <c r="J115" s="1" t="n">
        <v>-1417700</v>
      </c>
    </row>
    <row r="116" customFormat="false" ht="14.25" hidden="false" customHeight="false" outlineLevel="0" collapsed="false">
      <c r="A116" s="1" t="n">
        <v>39498</v>
      </c>
      <c r="C116" s="1" t="s">
        <v>447</v>
      </c>
      <c r="I116" s="1" t="n">
        <v>202100</v>
      </c>
      <c r="J116" s="1" t="n">
        <v>-3954590</v>
      </c>
    </row>
    <row r="117" customFormat="false" ht="14.25" hidden="false" customHeight="false" outlineLevel="0" collapsed="false">
      <c r="A117" s="1" t="n">
        <v>39498</v>
      </c>
      <c r="C117" s="1" t="s">
        <v>448</v>
      </c>
      <c r="I117" s="1" t="n">
        <v>202100</v>
      </c>
      <c r="J117" s="1" t="n">
        <v>-5958430</v>
      </c>
    </row>
    <row r="118" customFormat="false" ht="14.25" hidden="false" customHeight="false" outlineLevel="0" collapsed="false">
      <c r="A118" s="1" t="n">
        <v>39498</v>
      </c>
      <c r="C118" s="1" t="s">
        <v>449</v>
      </c>
      <c r="I118" s="1" t="n">
        <v>202100</v>
      </c>
      <c r="J118" s="1" t="n">
        <v>-2003255</v>
      </c>
    </row>
    <row r="119" customFormat="false" ht="14.25" hidden="false" customHeight="false" outlineLevel="0" collapsed="false">
      <c r="A119" s="1" t="n">
        <v>39498</v>
      </c>
      <c r="C119" s="1" t="s">
        <v>450</v>
      </c>
      <c r="I119" s="1" t="n">
        <v>202100</v>
      </c>
      <c r="J119" s="1" t="n">
        <v>-2318375</v>
      </c>
    </row>
    <row r="120" customFormat="false" ht="14.25" hidden="false" customHeight="false" outlineLevel="0" collapsed="false">
      <c r="A120" s="1" t="n">
        <v>39498</v>
      </c>
      <c r="C120" s="1" t="s">
        <v>451</v>
      </c>
      <c r="I120" s="1" t="n">
        <v>202100</v>
      </c>
      <c r="J120" s="1" t="n">
        <v>-341384.88</v>
      </c>
    </row>
    <row r="121" customFormat="false" ht="14.25" hidden="false" customHeight="false" outlineLevel="0" collapsed="false">
      <c r="A121" s="1" t="n">
        <v>39498</v>
      </c>
      <c r="C121" s="1" t="s">
        <v>452</v>
      </c>
      <c r="I121" s="1" t="n">
        <v>202100</v>
      </c>
      <c r="J121" s="1" t="n">
        <v>-2153532.38</v>
      </c>
    </row>
    <row r="122" customFormat="false" ht="14.25" hidden="false" customHeight="false" outlineLevel="0" collapsed="false">
      <c r="A122" s="1" t="n">
        <v>39498</v>
      </c>
      <c r="C122" s="1" t="s">
        <v>453</v>
      </c>
      <c r="I122" s="1" t="n">
        <v>202100</v>
      </c>
      <c r="J122" s="1" t="n">
        <v>-339812.05</v>
      </c>
    </row>
    <row r="123" customFormat="false" ht="14.25" hidden="false" customHeight="false" outlineLevel="0" collapsed="false">
      <c r="A123" s="1" t="n">
        <v>39498</v>
      </c>
      <c r="C123" s="1" t="s">
        <v>454</v>
      </c>
      <c r="I123" s="1" t="n">
        <v>202100</v>
      </c>
      <c r="J123" s="1" t="n">
        <v>-1059835.57</v>
      </c>
    </row>
    <row r="124" customFormat="false" ht="14.25" hidden="false" customHeight="false" outlineLevel="0" collapsed="false">
      <c r="A124" s="1" t="n">
        <v>39498</v>
      </c>
      <c r="C124" s="1" t="s">
        <v>455</v>
      </c>
      <c r="I124" s="1" t="n">
        <v>202100</v>
      </c>
      <c r="J124" s="1" t="n">
        <v>-275313.92</v>
      </c>
    </row>
    <row r="125" customFormat="false" ht="14.25" hidden="false" customHeight="false" outlineLevel="0" collapsed="false">
      <c r="A125" s="1" t="n">
        <v>39498</v>
      </c>
      <c r="C125" s="1" t="s">
        <v>456</v>
      </c>
      <c r="I125" s="1" t="n">
        <v>202100</v>
      </c>
      <c r="J125" s="1" t="n">
        <v>-5034044.37</v>
      </c>
    </row>
    <row r="126" customFormat="false" ht="14.25" hidden="false" customHeight="false" outlineLevel="0" collapsed="false">
      <c r="A126" s="1" t="n">
        <v>39498</v>
      </c>
      <c r="C126" s="1" t="s">
        <v>457</v>
      </c>
      <c r="I126" s="1" t="n">
        <v>202100</v>
      </c>
      <c r="J126" s="1" t="n">
        <v>-99730.3</v>
      </c>
    </row>
    <row r="127" customFormat="false" ht="14.25" hidden="false" customHeight="false" outlineLevel="0" collapsed="false">
      <c r="A127" s="1" t="n">
        <v>39498</v>
      </c>
      <c r="C127" s="1" t="s">
        <v>458</v>
      </c>
      <c r="I127" s="1" t="n">
        <v>202100</v>
      </c>
      <c r="J127" s="1" t="n">
        <v>-3065933.68</v>
      </c>
    </row>
    <row r="128" customFormat="false" ht="14.25" hidden="false" customHeight="false" outlineLevel="0" collapsed="false">
      <c r="A128" s="1" t="n">
        <v>39498</v>
      </c>
      <c r="C128" s="1" t="s">
        <v>459</v>
      </c>
      <c r="I128" s="1" t="n">
        <v>202100</v>
      </c>
      <c r="J128" s="1" t="n">
        <v>-1661477.61</v>
      </c>
    </row>
    <row r="129" customFormat="false" ht="14.25" hidden="false" customHeight="false" outlineLevel="0" collapsed="false">
      <c r="A129" s="1" t="n">
        <v>39498</v>
      </c>
      <c r="C129" s="1" t="s">
        <v>460</v>
      </c>
      <c r="I129" s="1" t="n">
        <v>202100</v>
      </c>
      <c r="J129" s="1" t="n">
        <v>-3490744.71</v>
      </c>
    </row>
    <row r="130" customFormat="false" ht="14.25" hidden="false" customHeight="false" outlineLevel="0" collapsed="false">
      <c r="A130" s="1" t="n">
        <v>39498</v>
      </c>
      <c r="C130" s="1" t="s">
        <v>461</v>
      </c>
      <c r="I130" s="1" t="n">
        <v>202100</v>
      </c>
      <c r="J130" s="1" t="n">
        <v>-2585328.92</v>
      </c>
    </row>
    <row r="131" customFormat="false" ht="14.25" hidden="false" customHeight="false" outlineLevel="0" collapsed="false">
      <c r="A131" s="1" t="n">
        <v>39498</v>
      </c>
      <c r="C131" s="1" t="s">
        <v>462</v>
      </c>
      <c r="I131" s="1" t="n">
        <v>202100</v>
      </c>
      <c r="J131" s="1" t="n">
        <v>-1236080.07</v>
      </c>
    </row>
    <row r="132" customFormat="false" ht="14.25" hidden="false" customHeight="false" outlineLevel="0" collapsed="false">
      <c r="A132" s="1" t="n">
        <v>39498</v>
      </c>
      <c r="C132" s="1" t="s">
        <v>463</v>
      </c>
      <c r="I132" s="1" t="n">
        <v>202100</v>
      </c>
      <c r="J132" s="1" t="n">
        <v>-1578609.46</v>
      </c>
    </row>
    <row r="133" customFormat="false" ht="14.25" hidden="false" customHeight="false" outlineLevel="0" collapsed="false">
      <c r="A133" s="1" t="n">
        <v>39498</v>
      </c>
      <c r="C133" s="1" t="s">
        <v>464</v>
      </c>
      <c r="I133" s="1" t="n">
        <v>202100</v>
      </c>
      <c r="J133" s="1" t="n">
        <v>-5105727.34</v>
      </c>
    </row>
    <row r="134" customFormat="false" ht="14.25" hidden="false" customHeight="false" outlineLevel="0" collapsed="false">
      <c r="A134" s="1" t="n">
        <v>39498</v>
      </c>
      <c r="C134" s="1" t="s">
        <v>465</v>
      </c>
      <c r="I134" s="1" t="n">
        <v>202100</v>
      </c>
      <c r="J134" s="1" t="n">
        <v>-15528</v>
      </c>
    </row>
    <row r="135" customFormat="false" ht="14.25" hidden="false" customHeight="false" outlineLevel="0" collapsed="false">
      <c r="A135" s="1" t="n">
        <v>39498</v>
      </c>
      <c r="C135" s="1" t="s">
        <v>466</v>
      </c>
      <c r="I135" s="1" t="n">
        <v>202100</v>
      </c>
      <c r="J135" s="1" t="n">
        <v>-1216911</v>
      </c>
    </row>
    <row r="136" customFormat="false" ht="14.25" hidden="false" customHeight="false" outlineLevel="0" collapsed="false">
      <c r="A136" s="1" t="n">
        <v>39498</v>
      </c>
      <c r="C136" s="1" t="s">
        <v>467</v>
      </c>
      <c r="I136" s="1" t="n">
        <v>202100</v>
      </c>
      <c r="J136" s="1" t="n">
        <v>-93357.5</v>
      </c>
    </row>
    <row r="137" customFormat="false" ht="14.25" hidden="false" customHeight="false" outlineLevel="0" collapsed="false">
      <c r="A137" s="1" t="n">
        <v>39498</v>
      </c>
      <c r="C137" s="1" t="s">
        <v>468</v>
      </c>
      <c r="I137" s="1" t="n">
        <v>202100</v>
      </c>
      <c r="J137" s="1" t="n">
        <v>-2440792.5</v>
      </c>
    </row>
    <row r="138" customFormat="false" ht="14.25" hidden="false" customHeight="false" outlineLevel="0" collapsed="false">
      <c r="A138" s="1" t="n">
        <v>39498</v>
      </c>
      <c r="C138" s="1" t="s">
        <v>469</v>
      </c>
      <c r="I138" s="1" t="n">
        <v>202100</v>
      </c>
      <c r="J138" s="1" t="n">
        <v>-36837.5</v>
      </c>
    </row>
    <row r="139" customFormat="false" ht="14.25" hidden="false" customHeight="false" outlineLevel="0" collapsed="false">
      <c r="A139" s="1" t="n">
        <v>39498</v>
      </c>
      <c r="C139" s="1" t="s">
        <v>470</v>
      </c>
      <c r="I139" s="1" t="n">
        <v>202100</v>
      </c>
      <c r="J139" s="1" t="n">
        <v>-1321712.5</v>
      </c>
    </row>
    <row r="140" customFormat="false" ht="14.25" hidden="false" customHeight="false" outlineLevel="0" collapsed="false">
      <c r="A140" s="1" t="n">
        <v>39498</v>
      </c>
      <c r="C140" s="1" t="s">
        <v>471</v>
      </c>
      <c r="I140" s="1" t="n">
        <v>202100</v>
      </c>
      <c r="J140" s="1" t="n">
        <v>-201917.5</v>
      </c>
    </row>
    <row r="141" customFormat="false" ht="14.25" hidden="false" customHeight="false" outlineLevel="0" collapsed="false">
      <c r="A141" s="1" t="n">
        <v>39498</v>
      </c>
      <c r="C141" s="1" t="s">
        <v>472</v>
      </c>
      <c r="I141" s="1" t="n">
        <v>202100</v>
      </c>
      <c r="J141" s="1" t="n">
        <v>-9310832.5</v>
      </c>
    </row>
    <row r="142" customFormat="false" ht="14.25" hidden="false" customHeight="false" outlineLevel="0" collapsed="false">
      <c r="A142" s="1" t="n">
        <v>39498</v>
      </c>
      <c r="C142" s="1" t="s">
        <v>473</v>
      </c>
      <c r="I142" s="1" t="n">
        <v>202100</v>
      </c>
      <c r="J142" s="1" t="n">
        <v>-48917.5</v>
      </c>
    </row>
    <row r="143" customFormat="false" ht="14.25" hidden="false" customHeight="false" outlineLevel="0" collapsed="false">
      <c r="A143" s="1" t="n">
        <v>39498</v>
      </c>
      <c r="C143" s="1" t="s">
        <v>474</v>
      </c>
      <c r="I143" s="1" t="n">
        <v>202100</v>
      </c>
      <c r="J143" s="1" t="n">
        <v>-2312432.5</v>
      </c>
    </row>
    <row r="144" customFormat="false" ht="14.25" hidden="false" customHeight="false" outlineLevel="0" collapsed="false">
      <c r="A144" s="1" t="n">
        <v>39498</v>
      </c>
      <c r="C144" s="1" t="s">
        <v>475</v>
      </c>
      <c r="I144" s="1" t="n">
        <v>202100</v>
      </c>
      <c r="J144" s="1" t="n">
        <v>-872307.42</v>
      </c>
    </row>
    <row r="145" customFormat="false" ht="14.25" hidden="false" customHeight="false" outlineLevel="0" collapsed="false">
      <c r="A145" s="1" t="n">
        <v>39498</v>
      </c>
      <c r="C145" s="1" t="s">
        <v>476</v>
      </c>
      <c r="I145" s="1" t="n">
        <v>202100</v>
      </c>
      <c r="J145" s="1" t="n">
        <v>-2202050.66</v>
      </c>
    </row>
    <row r="146" customFormat="false" ht="14.25" hidden="false" customHeight="false" outlineLevel="0" collapsed="false">
      <c r="A146" s="1" t="n">
        <v>39498</v>
      </c>
      <c r="C146" s="1" t="s">
        <v>477</v>
      </c>
      <c r="I146" s="1" t="n">
        <v>202100</v>
      </c>
      <c r="J146" s="1" t="n">
        <v>-930436.49</v>
      </c>
    </row>
    <row r="147" customFormat="false" ht="14.25" hidden="false" customHeight="false" outlineLevel="0" collapsed="false">
      <c r="A147" s="1" t="n">
        <v>39498</v>
      </c>
      <c r="C147" s="1" t="s">
        <v>478</v>
      </c>
      <c r="I147" s="1" t="n">
        <v>202100</v>
      </c>
      <c r="J147" s="1" t="n">
        <v>-975395.44</v>
      </c>
    </row>
    <row r="148" customFormat="false" ht="14.25" hidden="false" customHeight="false" outlineLevel="0" collapsed="false">
      <c r="A148" s="1" t="n">
        <v>39498</v>
      </c>
      <c r="C148" s="1" t="s">
        <v>479</v>
      </c>
      <c r="I148" s="1" t="n">
        <v>202100</v>
      </c>
      <c r="J148" s="1" t="n">
        <v>-1828075.63</v>
      </c>
    </row>
    <row r="149" customFormat="false" ht="14.25" hidden="false" customHeight="false" outlineLevel="0" collapsed="false">
      <c r="A149" s="1" t="n">
        <v>39498</v>
      </c>
      <c r="C149" s="1" t="s">
        <v>480</v>
      </c>
      <c r="I149" s="1" t="n">
        <v>202100</v>
      </c>
      <c r="J149" s="1" t="n">
        <v>-4249509.81</v>
      </c>
    </row>
    <row r="150" customFormat="false" ht="14.25" hidden="false" customHeight="false" outlineLevel="0" collapsed="false">
      <c r="A150" s="1" t="n">
        <v>39498</v>
      </c>
      <c r="C150" s="1" t="s">
        <v>481</v>
      </c>
      <c r="I150" s="1" t="n">
        <v>202100</v>
      </c>
      <c r="J150" s="1" t="n">
        <v>-407086</v>
      </c>
    </row>
    <row r="151" customFormat="false" ht="14.25" hidden="false" customHeight="false" outlineLevel="0" collapsed="false">
      <c r="A151" s="1" t="n">
        <v>39498</v>
      </c>
      <c r="C151" s="1" t="s">
        <v>482</v>
      </c>
      <c r="I151" s="1" t="n">
        <v>202100</v>
      </c>
      <c r="J151" s="1" t="n">
        <v>-949867.33</v>
      </c>
    </row>
    <row r="152" customFormat="false" ht="14.25" hidden="false" customHeight="false" outlineLevel="0" collapsed="false">
      <c r="A152" s="1" t="n">
        <v>39498</v>
      </c>
      <c r="C152" s="1" t="s">
        <v>483</v>
      </c>
      <c r="I152" s="1" t="n">
        <v>202100</v>
      </c>
      <c r="J152" s="1" t="n">
        <v>-110207.15</v>
      </c>
    </row>
    <row r="153" customFormat="false" ht="14.25" hidden="false" customHeight="false" outlineLevel="0" collapsed="false">
      <c r="A153" s="1" t="n">
        <v>39498</v>
      </c>
      <c r="C153" s="1" t="s">
        <v>484</v>
      </c>
      <c r="I153" s="1" t="n">
        <v>202100</v>
      </c>
      <c r="J153" s="1" t="n">
        <v>-2574274.66</v>
      </c>
    </row>
    <row r="154" customFormat="false" ht="14.25" hidden="false" customHeight="false" outlineLevel="0" collapsed="false">
      <c r="A154" s="1" t="n">
        <v>39498</v>
      </c>
      <c r="C154" s="1" t="s">
        <v>485</v>
      </c>
      <c r="I154" s="1" t="n">
        <v>202100</v>
      </c>
      <c r="J154" s="1" t="n">
        <v>-25000</v>
      </c>
    </row>
    <row r="155" customFormat="false" ht="14.25" hidden="false" customHeight="false" outlineLevel="0" collapsed="false">
      <c r="A155" s="1" t="n">
        <v>39498</v>
      </c>
      <c r="C155" s="1" t="s">
        <v>486</v>
      </c>
      <c r="I155" s="1" t="n">
        <v>202100</v>
      </c>
      <c r="J155" s="1" t="n">
        <v>-388690</v>
      </c>
    </row>
    <row r="156" customFormat="false" ht="14.25" hidden="false" customHeight="false" outlineLevel="0" collapsed="false">
      <c r="A156" s="1" t="n">
        <v>39498</v>
      </c>
      <c r="C156" s="1" t="s">
        <v>487</v>
      </c>
      <c r="I156" s="1" t="n">
        <v>202100</v>
      </c>
      <c r="J156" s="1" t="n">
        <v>-729750</v>
      </c>
    </row>
    <row r="157" customFormat="false" ht="14.25" hidden="false" customHeight="false" outlineLevel="0" collapsed="false">
      <c r="A157" s="1" t="n">
        <v>39498</v>
      </c>
      <c r="C157" s="1" t="s">
        <v>488</v>
      </c>
      <c r="I157" s="1" t="n">
        <v>202100</v>
      </c>
      <c r="J157" s="1" t="n">
        <v>-127880</v>
      </c>
    </row>
    <row r="158" customFormat="false" ht="14.25" hidden="false" customHeight="false" outlineLevel="0" collapsed="false">
      <c r="A158" s="1" t="n">
        <v>39498</v>
      </c>
      <c r="C158" s="1" t="s">
        <v>489</v>
      </c>
      <c r="I158" s="1" t="n">
        <v>202100</v>
      </c>
      <c r="J158" s="1" t="n">
        <v>-4456880</v>
      </c>
    </row>
    <row r="159" customFormat="false" ht="14.25" hidden="false" customHeight="false" outlineLevel="0" collapsed="false">
      <c r="A159" s="1" t="n">
        <v>39498</v>
      </c>
      <c r="C159" s="1" t="s">
        <v>490</v>
      </c>
      <c r="I159" s="1" t="n">
        <v>202100</v>
      </c>
      <c r="J159" s="1" t="n">
        <v>-154240</v>
      </c>
    </row>
    <row r="160" customFormat="false" ht="14.25" hidden="false" customHeight="false" outlineLevel="0" collapsed="false">
      <c r="A160" s="1" t="n">
        <v>39498</v>
      </c>
      <c r="C160" s="1" t="s">
        <v>491</v>
      </c>
      <c r="I160" s="1" t="n">
        <v>202100</v>
      </c>
      <c r="J160" s="1" t="n">
        <v>-3824320</v>
      </c>
    </row>
    <row r="161" customFormat="false" ht="14.25" hidden="false" customHeight="false" outlineLevel="0" collapsed="false">
      <c r="A161" s="1" t="n">
        <v>39498</v>
      </c>
      <c r="C161" s="1" t="s">
        <v>492</v>
      </c>
      <c r="I161" s="1" t="n">
        <v>202100</v>
      </c>
      <c r="J161" s="1" t="n">
        <v>-153173.69</v>
      </c>
    </row>
    <row r="162" customFormat="false" ht="14.25" hidden="false" customHeight="false" outlineLevel="0" collapsed="false">
      <c r="A162" s="1" t="n">
        <v>39498</v>
      </c>
      <c r="C162" s="1" t="s">
        <v>493</v>
      </c>
      <c r="I162" s="1" t="n">
        <v>202100</v>
      </c>
      <c r="J162" s="1" t="n">
        <v>-4278632.88</v>
      </c>
    </row>
    <row r="163" customFormat="false" ht="14.25" hidden="false" customHeight="false" outlineLevel="0" collapsed="false">
      <c r="A163" s="1" t="n">
        <v>39498</v>
      </c>
      <c r="C163" s="1" t="s">
        <v>494</v>
      </c>
      <c r="I163" s="1" t="n">
        <v>202100</v>
      </c>
      <c r="J163" s="1" t="n">
        <v>-1302341.86</v>
      </c>
    </row>
    <row r="164" customFormat="false" ht="14.25" hidden="false" customHeight="false" outlineLevel="0" collapsed="false">
      <c r="A164" s="1" t="n">
        <v>39498</v>
      </c>
      <c r="C164" s="1" t="s">
        <v>495</v>
      </c>
      <c r="I164" s="1" t="n">
        <v>202100</v>
      </c>
      <c r="J164" s="1" t="n">
        <v>-7024034.66</v>
      </c>
    </row>
    <row r="165" customFormat="false" ht="14.25" hidden="false" customHeight="false" outlineLevel="0" collapsed="false">
      <c r="A165" s="1" t="n">
        <v>39498</v>
      </c>
      <c r="C165" s="1" t="s">
        <v>496</v>
      </c>
      <c r="I165" s="1" t="n">
        <v>202100</v>
      </c>
      <c r="J165" s="1" t="n">
        <v>-112201.77</v>
      </c>
    </row>
    <row r="166" customFormat="false" ht="14.25" hidden="false" customHeight="false" outlineLevel="0" collapsed="false">
      <c r="A166" s="1" t="n">
        <v>39498</v>
      </c>
      <c r="C166" s="1" t="s">
        <v>497</v>
      </c>
      <c r="I166" s="1" t="n">
        <v>202100</v>
      </c>
      <c r="J166" s="1" t="n">
        <v>-11158025.24</v>
      </c>
    </row>
    <row r="167" customFormat="false" ht="14.25" hidden="false" customHeight="false" outlineLevel="0" collapsed="false">
      <c r="A167" s="1" t="n">
        <v>39498</v>
      </c>
      <c r="C167" s="1" t="s">
        <v>498</v>
      </c>
      <c r="I167" s="1" t="n">
        <v>202100</v>
      </c>
      <c r="J167" s="1" t="n">
        <v>-70398.39</v>
      </c>
    </row>
    <row r="168" customFormat="false" ht="14.25" hidden="false" customHeight="false" outlineLevel="0" collapsed="false">
      <c r="A168" s="1" t="n">
        <v>39498</v>
      </c>
      <c r="C168" s="1" t="s">
        <v>499</v>
      </c>
      <c r="I168" s="1" t="n">
        <v>202100</v>
      </c>
      <c r="J168" s="1" t="n">
        <v>-2767786.34</v>
      </c>
    </row>
    <row r="169" customFormat="false" ht="14.25" hidden="false" customHeight="false" outlineLevel="0" collapsed="false">
      <c r="A169" s="1" t="n">
        <v>39498</v>
      </c>
      <c r="C169" s="1" t="s">
        <v>500</v>
      </c>
      <c r="I169" s="1" t="n">
        <v>202100</v>
      </c>
      <c r="J169" s="1" t="n">
        <v>-736250</v>
      </c>
    </row>
    <row r="170" customFormat="false" ht="14.25" hidden="false" customHeight="false" outlineLevel="0" collapsed="false">
      <c r="A170" s="1" t="n">
        <v>39498</v>
      </c>
      <c r="C170" s="1" t="s">
        <v>501</v>
      </c>
      <c r="I170" s="1" t="n">
        <v>202100</v>
      </c>
      <c r="J170" s="1" t="n">
        <v>-2555750</v>
      </c>
    </row>
    <row r="171" customFormat="false" ht="14.25" hidden="false" customHeight="false" outlineLevel="0" collapsed="false">
      <c r="A171" s="1" t="n">
        <v>39498</v>
      </c>
      <c r="C171" s="1" t="s">
        <v>502</v>
      </c>
      <c r="I171" s="1" t="n">
        <v>202100</v>
      </c>
      <c r="J171" s="1" t="n">
        <v>-564000</v>
      </c>
    </row>
    <row r="172" customFormat="false" ht="14.25" hidden="false" customHeight="false" outlineLevel="0" collapsed="false">
      <c r="A172" s="1" t="n">
        <v>39498</v>
      </c>
      <c r="C172" s="1" t="s">
        <v>503</v>
      </c>
      <c r="I172" s="1" t="n">
        <v>202100</v>
      </c>
      <c r="J172" s="1" t="n">
        <v>-727000</v>
      </c>
    </row>
    <row r="173" customFormat="false" ht="14.25" hidden="false" customHeight="false" outlineLevel="0" collapsed="false">
      <c r="A173" s="1" t="n">
        <v>39498</v>
      </c>
      <c r="C173" s="1" t="s">
        <v>504</v>
      </c>
      <c r="I173" s="1" t="n">
        <v>202100</v>
      </c>
      <c r="J173" s="1" t="n">
        <v>-473750</v>
      </c>
    </row>
    <row r="174" customFormat="false" ht="14.25" hidden="false" customHeight="false" outlineLevel="0" collapsed="false">
      <c r="A174" s="1" t="n">
        <v>39498</v>
      </c>
      <c r="C174" s="1" t="s">
        <v>505</v>
      </c>
      <c r="I174" s="1" t="n">
        <v>202100</v>
      </c>
      <c r="J174" s="1" t="n">
        <v>-4353250</v>
      </c>
    </row>
    <row r="175" customFormat="false" ht="14.25" hidden="false" customHeight="false" outlineLevel="0" collapsed="false">
      <c r="A175" s="1" t="n">
        <v>39498</v>
      </c>
      <c r="C175" s="1" t="s">
        <v>506</v>
      </c>
      <c r="I175" s="1" t="n">
        <v>202100</v>
      </c>
      <c r="J175" s="1" t="n">
        <v>-446250</v>
      </c>
    </row>
    <row r="176" customFormat="false" ht="14.25" hidden="false" customHeight="false" outlineLevel="0" collapsed="false">
      <c r="A176" s="1" t="n">
        <v>39498</v>
      </c>
      <c r="C176" s="1" t="s">
        <v>507</v>
      </c>
      <c r="I176" s="1" t="n">
        <v>202100</v>
      </c>
      <c r="J176" s="1" t="n">
        <v>-1901250</v>
      </c>
    </row>
    <row r="177" customFormat="false" ht="14.25" hidden="false" customHeight="false" outlineLevel="0" collapsed="false">
      <c r="A177" s="1" t="n">
        <v>39498</v>
      </c>
      <c r="C177" s="1" t="s">
        <v>508</v>
      </c>
      <c r="I177" s="1" t="n">
        <v>202100</v>
      </c>
      <c r="J177" s="1" t="n">
        <v>-206700</v>
      </c>
    </row>
    <row r="178" customFormat="false" ht="14.25" hidden="false" customHeight="false" outlineLevel="0" collapsed="false">
      <c r="A178" s="1" t="n">
        <v>39498</v>
      </c>
      <c r="C178" s="1" t="s">
        <v>509</v>
      </c>
      <c r="I178" s="1" t="n">
        <v>202100</v>
      </c>
      <c r="J178" s="1" t="n">
        <v>-3064448.05</v>
      </c>
    </row>
    <row r="179" customFormat="false" ht="14.25" hidden="false" customHeight="false" outlineLevel="0" collapsed="false">
      <c r="A179" s="1" t="n">
        <v>39498</v>
      </c>
      <c r="C179" s="1" t="s">
        <v>510</v>
      </c>
      <c r="I179" s="1" t="n">
        <v>202100</v>
      </c>
      <c r="J179" s="1" t="n">
        <v>-536600</v>
      </c>
    </row>
    <row r="180" customFormat="false" ht="14.25" hidden="false" customHeight="false" outlineLevel="0" collapsed="false">
      <c r="A180" s="1" t="n">
        <v>39498</v>
      </c>
      <c r="C180" s="1" t="s">
        <v>511</v>
      </c>
      <c r="I180" s="1" t="n">
        <v>202100</v>
      </c>
      <c r="J180" s="1" t="n">
        <v>-160100</v>
      </c>
    </row>
    <row r="181" customFormat="false" ht="14.25" hidden="false" customHeight="false" outlineLevel="0" collapsed="false">
      <c r="A181" s="1" t="n">
        <v>39498</v>
      </c>
      <c r="C181" s="1" t="s">
        <v>512</v>
      </c>
      <c r="I181" s="1" t="n">
        <v>202100</v>
      </c>
      <c r="J181" s="1" t="n">
        <v>-7863420</v>
      </c>
    </row>
    <row r="182" customFormat="false" ht="14.25" hidden="false" customHeight="false" outlineLevel="0" collapsed="false">
      <c r="A182" s="1" t="n">
        <v>39498</v>
      </c>
      <c r="C182" s="1" t="s">
        <v>513</v>
      </c>
      <c r="I182" s="1" t="n">
        <v>202100</v>
      </c>
      <c r="J182" s="1" t="n">
        <v>-13515.45</v>
      </c>
    </row>
    <row r="183" customFormat="false" ht="14.25" hidden="false" customHeight="false" outlineLevel="0" collapsed="false">
      <c r="A183" s="1" t="n">
        <v>39498</v>
      </c>
      <c r="C183" s="1" t="s">
        <v>514</v>
      </c>
      <c r="I183" s="1" t="n">
        <v>202100</v>
      </c>
      <c r="J183" s="1" t="n">
        <v>-1362161.2</v>
      </c>
    </row>
    <row r="184" customFormat="false" ht="14.25" hidden="false" customHeight="false" outlineLevel="0" collapsed="false">
      <c r="A184" s="1" t="n">
        <v>39498</v>
      </c>
      <c r="C184" s="1" t="s">
        <v>515</v>
      </c>
      <c r="I184" s="1" t="n">
        <v>202100</v>
      </c>
      <c r="J184" s="1" t="n">
        <v>-312000</v>
      </c>
    </row>
    <row r="185" customFormat="false" ht="14.25" hidden="false" customHeight="false" outlineLevel="0" collapsed="false">
      <c r="A185" s="1" t="n">
        <v>39498</v>
      </c>
      <c r="C185" s="1" t="s">
        <v>516</v>
      </c>
      <c r="I185" s="1" t="n">
        <v>202100</v>
      </c>
      <c r="J185" s="1" t="n">
        <v>-2336900</v>
      </c>
    </row>
    <row r="186" customFormat="false" ht="14.25" hidden="false" customHeight="false" outlineLevel="0" collapsed="false">
      <c r="A186" s="1" t="n">
        <v>39498</v>
      </c>
      <c r="C186" s="1" t="s">
        <v>517</v>
      </c>
      <c r="I186" s="1" t="n">
        <v>202100</v>
      </c>
      <c r="J186" s="1" t="n">
        <v>-615500</v>
      </c>
    </row>
    <row r="187" customFormat="false" ht="14.25" hidden="false" customHeight="false" outlineLevel="0" collapsed="false">
      <c r="A187" s="1" t="n">
        <v>39498</v>
      </c>
      <c r="C187" s="1" t="s">
        <v>518</v>
      </c>
      <c r="I187" s="1" t="n">
        <v>202100</v>
      </c>
      <c r="J187" s="1" t="n">
        <v>-1114300</v>
      </c>
    </row>
    <row r="188" customFormat="false" ht="14.25" hidden="false" customHeight="false" outlineLevel="0" collapsed="false">
      <c r="A188" s="1" t="n">
        <v>39498</v>
      </c>
      <c r="C188" s="1" t="s">
        <v>519</v>
      </c>
      <c r="I188" s="1" t="n">
        <v>202100</v>
      </c>
      <c r="J188" s="1" t="n">
        <v>-1809600</v>
      </c>
    </row>
    <row r="189" customFormat="false" ht="14.25" hidden="false" customHeight="false" outlineLevel="0" collapsed="false">
      <c r="A189" s="1" t="n">
        <v>39498</v>
      </c>
      <c r="C189" s="1" t="s">
        <v>520</v>
      </c>
      <c r="I189" s="1" t="n">
        <v>202100</v>
      </c>
      <c r="J189" s="1" t="n">
        <v>-11184000</v>
      </c>
    </row>
    <row r="190" customFormat="false" ht="14.25" hidden="false" customHeight="false" outlineLevel="0" collapsed="false">
      <c r="A190" s="1" t="n">
        <v>39498</v>
      </c>
      <c r="C190" s="1" t="s">
        <v>521</v>
      </c>
      <c r="I190" s="1" t="n">
        <v>202100</v>
      </c>
      <c r="J190" s="1" t="n">
        <v>-405200</v>
      </c>
    </row>
    <row r="191" customFormat="false" ht="14.25" hidden="false" customHeight="false" outlineLevel="0" collapsed="false">
      <c r="A191" s="1" t="n">
        <v>39498</v>
      </c>
      <c r="C191" s="1" t="s">
        <v>522</v>
      </c>
      <c r="I191" s="1" t="n">
        <v>202100</v>
      </c>
      <c r="J191" s="1" t="n">
        <v>-1823100</v>
      </c>
    </row>
    <row r="192" customFormat="false" ht="14.25" hidden="false" customHeight="false" outlineLevel="0" collapsed="false">
      <c r="A192" s="1" t="n">
        <v>39498</v>
      </c>
      <c r="C192" s="1" t="s">
        <v>523</v>
      </c>
      <c r="I192" s="1" t="n">
        <v>202100</v>
      </c>
      <c r="J192" s="1" t="n">
        <v>-465957.9</v>
      </c>
    </row>
    <row r="193" customFormat="false" ht="14.25" hidden="false" customHeight="false" outlineLevel="0" collapsed="false">
      <c r="A193" s="1" t="n">
        <v>39498</v>
      </c>
      <c r="C193" s="1" t="s">
        <v>524</v>
      </c>
      <c r="I193" s="1" t="n">
        <v>202100</v>
      </c>
      <c r="J193" s="1" t="n">
        <v>-3118333.63</v>
      </c>
    </row>
    <row r="194" customFormat="false" ht="14.25" hidden="false" customHeight="false" outlineLevel="0" collapsed="false">
      <c r="A194" s="1" t="n">
        <v>39498</v>
      </c>
      <c r="C194" s="1" t="s">
        <v>525</v>
      </c>
      <c r="I194" s="1" t="n">
        <v>202100</v>
      </c>
      <c r="J194" s="1" t="n">
        <v>-115581.59</v>
      </c>
    </row>
    <row r="195" customFormat="false" ht="14.25" hidden="false" customHeight="false" outlineLevel="0" collapsed="false">
      <c r="A195" s="1" t="n">
        <v>39498</v>
      </c>
      <c r="C195" s="1" t="s">
        <v>526</v>
      </c>
      <c r="I195" s="1" t="n">
        <v>202100</v>
      </c>
      <c r="J195" s="1" t="n">
        <v>-773507.55</v>
      </c>
    </row>
    <row r="196" customFormat="false" ht="14.25" hidden="false" customHeight="false" outlineLevel="0" collapsed="false">
      <c r="A196" s="1" t="n">
        <v>39498</v>
      </c>
      <c r="C196" s="1" t="s">
        <v>527</v>
      </c>
      <c r="I196" s="1" t="n">
        <v>202100</v>
      </c>
      <c r="J196" s="1" t="n">
        <v>-677172.73</v>
      </c>
    </row>
    <row r="197" customFormat="false" ht="14.25" hidden="false" customHeight="false" outlineLevel="0" collapsed="false">
      <c r="A197" s="1" t="n">
        <v>39498</v>
      </c>
      <c r="C197" s="1" t="s">
        <v>528</v>
      </c>
      <c r="I197" s="1" t="n">
        <v>202100</v>
      </c>
      <c r="J197" s="1" t="n">
        <v>-4531848.25</v>
      </c>
    </row>
    <row r="198" customFormat="false" ht="14.25" hidden="false" customHeight="false" outlineLevel="0" collapsed="false">
      <c r="A198" s="1" t="n">
        <v>39498</v>
      </c>
      <c r="C198" s="1" t="s">
        <v>529</v>
      </c>
      <c r="I198" s="1" t="n">
        <v>202100</v>
      </c>
      <c r="J198" s="1" t="n">
        <v>-95863.97</v>
      </c>
    </row>
    <row r="199" customFormat="false" ht="14.25" hidden="false" customHeight="false" outlineLevel="0" collapsed="false">
      <c r="A199" s="1" t="n">
        <v>39498</v>
      </c>
      <c r="C199" s="1" t="s">
        <v>530</v>
      </c>
      <c r="I199" s="1" t="n">
        <v>202100</v>
      </c>
      <c r="J199" s="1" t="n">
        <v>-605974.24</v>
      </c>
    </row>
    <row r="200" customFormat="false" ht="14.25" hidden="false" customHeight="false" outlineLevel="0" collapsed="false">
      <c r="A200" s="1" t="n">
        <v>39498</v>
      </c>
      <c r="C200" s="1" t="s">
        <v>531</v>
      </c>
      <c r="I200" s="1" t="n">
        <v>202100</v>
      </c>
      <c r="J200" s="1" t="n">
        <v>-1135233.49</v>
      </c>
    </row>
    <row r="201" customFormat="false" ht="14.25" hidden="false" customHeight="false" outlineLevel="0" collapsed="false">
      <c r="A201" s="1" t="n">
        <v>39498</v>
      </c>
      <c r="C201" s="1" t="s">
        <v>532</v>
      </c>
      <c r="I201" s="1" t="n">
        <v>202100</v>
      </c>
      <c r="J201" s="1" t="n">
        <v>-1159981.2</v>
      </c>
    </row>
    <row r="202" customFormat="false" ht="14.25" hidden="false" customHeight="false" outlineLevel="0" collapsed="false">
      <c r="A202" s="1" t="n">
        <v>39498</v>
      </c>
      <c r="C202" s="1" t="s">
        <v>533</v>
      </c>
      <c r="I202" s="1" t="n">
        <v>202100</v>
      </c>
      <c r="J202" s="1" t="n">
        <v>-698349.15</v>
      </c>
    </row>
    <row r="203" customFormat="false" ht="14.25" hidden="false" customHeight="false" outlineLevel="0" collapsed="false">
      <c r="A203" s="1" t="n">
        <v>39498</v>
      </c>
      <c r="C203" s="1" t="s">
        <v>534</v>
      </c>
      <c r="I203" s="1" t="n">
        <v>202100</v>
      </c>
      <c r="J203" s="1" t="n">
        <v>-1280535.26</v>
      </c>
    </row>
    <row r="204" customFormat="false" ht="14.25" hidden="false" customHeight="false" outlineLevel="0" collapsed="false">
      <c r="A204" s="1" t="n">
        <v>39498</v>
      </c>
      <c r="C204" s="1" t="s">
        <v>535</v>
      </c>
      <c r="I204" s="1" t="n">
        <v>202100</v>
      </c>
      <c r="J204" s="1" t="n">
        <v>-388154.36</v>
      </c>
    </row>
    <row r="205" customFormat="false" ht="14.25" hidden="false" customHeight="false" outlineLevel="0" collapsed="false">
      <c r="A205" s="1" t="n">
        <v>39498</v>
      </c>
      <c r="C205" s="1" t="s">
        <v>536</v>
      </c>
      <c r="I205" s="1" t="n">
        <v>202100</v>
      </c>
      <c r="J205" s="1" t="n">
        <v>-351799.17</v>
      </c>
    </row>
    <row r="206" customFormat="false" ht="14.25" hidden="false" customHeight="false" outlineLevel="0" collapsed="false">
      <c r="A206" s="1" t="n">
        <v>39498</v>
      </c>
      <c r="C206" s="1" t="s">
        <v>537</v>
      </c>
      <c r="I206" s="1" t="n">
        <v>202100</v>
      </c>
      <c r="J206" s="1" t="n">
        <v>-410767.47</v>
      </c>
    </row>
    <row r="207" customFormat="false" ht="14.25" hidden="false" customHeight="false" outlineLevel="0" collapsed="false">
      <c r="A207" s="1" t="n">
        <v>39498</v>
      </c>
      <c r="C207" s="1" t="s">
        <v>538</v>
      </c>
      <c r="I207" s="1" t="n">
        <v>202100</v>
      </c>
      <c r="J207" s="1" t="n">
        <v>-367454.41</v>
      </c>
    </row>
    <row r="208" customFormat="false" ht="14.25" hidden="false" customHeight="false" outlineLevel="0" collapsed="false">
      <c r="A208" s="1" t="n">
        <v>39498</v>
      </c>
      <c r="C208" s="1" t="s">
        <v>539</v>
      </c>
      <c r="I208" s="1" t="n">
        <v>202100</v>
      </c>
      <c r="J208" s="1" t="n">
        <v>-685267.23</v>
      </c>
    </row>
    <row r="209" customFormat="false" ht="14.25" hidden="false" customHeight="false" outlineLevel="0" collapsed="false">
      <c r="A209" s="1" t="n">
        <v>39498</v>
      </c>
      <c r="C209" s="1" t="s">
        <v>540</v>
      </c>
      <c r="I209" s="1" t="n">
        <v>202100</v>
      </c>
      <c r="J209" s="1" t="n">
        <v>-646260.77</v>
      </c>
    </row>
    <row r="210" customFormat="false" ht="14.25" hidden="false" customHeight="false" outlineLevel="0" collapsed="false">
      <c r="A210" s="1" t="n">
        <v>39498</v>
      </c>
      <c r="C210" s="1" t="s">
        <v>541</v>
      </c>
      <c r="I210" s="1" t="n">
        <v>202100</v>
      </c>
      <c r="J210" s="1" t="n">
        <v>-809301.67</v>
      </c>
    </row>
    <row r="211" customFormat="false" ht="14.25" hidden="false" customHeight="false" outlineLevel="0" collapsed="false">
      <c r="A211" s="1" t="n">
        <v>39498</v>
      </c>
      <c r="C211" s="1" t="s">
        <v>542</v>
      </c>
      <c r="I211" s="1" t="n">
        <v>202100</v>
      </c>
      <c r="J211" s="1" t="n">
        <v>-719333.08</v>
      </c>
    </row>
    <row r="212" customFormat="false" ht="14.25" hidden="false" customHeight="false" outlineLevel="0" collapsed="false">
      <c r="A212" s="1" t="n">
        <v>39498</v>
      </c>
      <c r="C212" s="1" t="s">
        <v>543</v>
      </c>
      <c r="I212" s="1" t="n">
        <v>202100</v>
      </c>
      <c r="J212" s="1" t="n">
        <v>-4488784.32</v>
      </c>
    </row>
    <row r="213" customFormat="false" ht="14.25" hidden="false" customHeight="false" outlineLevel="0" collapsed="false">
      <c r="A213" s="1" t="n">
        <v>39498</v>
      </c>
      <c r="C213" s="1" t="s">
        <v>544</v>
      </c>
      <c r="I213" s="1" t="n">
        <v>202100</v>
      </c>
      <c r="J213" s="1" t="n">
        <v>-1346635.29</v>
      </c>
    </row>
    <row r="214" customFormat="false" ht="14.25" hidden="false" customHeight="false" outlineLevel="0" collapsed="false">
      <c r="A214" s="1" t="n">
        <v>39498</v>
      </c>
      <c r="C214" s="1" t="s">
        <v>545</v>
      </c>
      <c r="I214" s="1" t="n">
        <v>202100</v>
      </c>
      <c r="J214" s="1" t="n">
        <v>-2345327.81</v>
      </c>
    </row>
    <row r="215" customFormat="false" ht="14.25" hidden="false" customHeight="false" outlineLevel="0" collapsed="false">
      <c r="A215" s="1" t="n">
        <v>39498</v>
      </c>
      <c r="C215" s="1" t="s">
        <v>546</v>
      </c>
      <c r="I215" s="1" t="n">
        <v>202100</v>
      </c>
      <c r="J215" s="1" t="n">
        <v>-703598.34</v>
      </c>
    </row>
    <row r="216" customFormat="false" ht="14.25" hidden="false" customHeight="false" outlineLevel="0" collapsed="false">
      <c r="A216" s="1" t="n">
        <v>39498</v>
      </c>
      <c r="C216" s="1" t="s">
        <v>547</v>
      </c>
      <c r="I216" s="1" t="n">
        <v>202100</v>
      </c>
      <c r="J216" s="1" t="n">
        <v>-2449696.04</v>
      </c>
    </row>
    <row r="217" customFormat="false" ht="14.25" hidden="false" customHeight="false" outlineLevel="0" collapsed="false">
      <c r="A217" s="1" t="n">
        <v>39498</v>
      </c>
      <c r="C217" s="1" t="s">
        <v>548</v>
      </c>
      <c r="I217" s="1" t="n">
        <v>202100</v>
      </c>
      <c r="J217" s="1" t="n">
        <v>-734908.81</v>
      </c>
    </row>
    <row r="218" customFormat="false" ht="14.25" hidden="false" customHeight="false" outlineLevel="0" collapsed="false">
      <c r="A218" s="1" t="n">
        <v>39498</v>
      </c>
      <c r="C218" s="1" t="s">
        <v>549</v>
      </c>
      <c r="I218" s="1" t="n">
        <v>202100</v>
      </c>
      <c r="J218" s="1" t="n">
        <v>-4259254.33</v>
      </c>
    </row>
    <row r="219" customFormat="false" ht="14.25" hidden="false" customHeight="false" outlineLevel="0" collapsed="false">
      <c r="A219" s="1" t="n">
        <v>39498</v>
      </c>
      <c r="C219" s="1" t="s">
        <v>550</v>
      </c>
      <c r="I219" s="1" t="n">
        <v>202100</v>
      </c>
      <c r="J219" s="1" t="n">
        <v>-1277776.3</v>
      </c>
    </row>
    <row r="220" customFormat="false" ht="14.25" hidden="false" customHeight="false" outlineLevel="0" collapsed="false">
      <c r="A220" s="1" t="n">
        <v>39498</v>
      </c>
      <c r="C220" s="1" t="s">
        <v>551</v>
      </c>
      <c r="I220" s="1" t="n">
        <v>202100</v>
      </c>
      <c r="J220" s="1" t="n">
        <v>-4795553.88</v>
      </c>
    </row>
    <row r="221" customFormat="false" ht="14.25" hidden="false" customHeight="false" outlineLevel="0" collapsed="false">
      <c r="A221" s="1" t="n">
        <v>39498</v>
      </c>
      <c r="C221" s="1" t="s">
        <v>552</v>
      </c>
      <c r="I221" s="1" t="n">
        <v>202100</v>
      </c>
      <c r="J221" s="1" t="n">
        <v>-1438666.16</v>
      </c>
    </row>
    <row r="222" customFormat="false" ht="14.25" hidden="false" customHeight="false" outlineLevel="0" collapsed="false">
      <c r="A222" s="1" t="n">
        <v>39498</v>
      </c>
      <c r="C222" s="1" t="s">
        <v>553</v>
      </c>
      <c r="I222" s="1" t="n">
        <v>202100</v>
      </c>
      <c r="J222" s="1" t="n">
        <v>-1097134.93</v>
      </c>
    </row>
    <row r="223" customFormat="false" ht="14.25" hidden="false" customHeight="false" outlineLevel="0" collapsed="false">
      <c r="A223" s="1" t="n">
        <v>39498</v>
      </c>
      <c r="C223" s="1" t="s">
        <v>554</v>
      </c>
      <c r="I223" s="1" t="n">
        <v>202100</v>
      </c>
      <c r="J223" s="1" t="n">
        <v>-926213.42</v>
      </c>
    </row>
    <row r="224" customFormat="false" ht="14.25" hidden="false" customHeight="false" outlineLevel="0" collapsed="false">
      <c r="A224" s="1" t="n">
        <v>39498</v>
      </c>
      <c r="C224" s="1" t="s">
        <v>555</v>
      </c>
      <c r="I224" s="1" t="n">
        <v>202100</v>
      </c>
      <c r="J224" s="1" t="n">
        <v>-260661.13</v>
      </c>
    </row>
    <row r="225" customFormat="false" ht="14.25" hidden="false" customHeight="false" outlineLevel="0" collapsed="false">
      <c r="A225" s="1" t="n">
        <v>39498</v>
      </c>
      <c r="C225" s="1" t="s">
        <v>556</v>
      </c>
      <c r="I225" s="1" t="n">
        <v>202100</v>
      </c>
      <c r="J225" s="1" t="n">
        <v>-387561.94</v>
      </c>
    </row>
    <row r="226" customFormat="false" ht="14.25" hidden="false" customHeight="false" outlineLevel="0" collapsed="false">
      <c r="A226" s="1" t="n">
        <v>39498</v>
      </c>
      <c r="C226" s="1" t="s">
        <v>557</v>
      </c>
      <c r="I226" s="1" t="n">
        <v>202100</v>
      </c>
      <c r="J226" s="1" t="n">
        <v>-378696.98</v>
      </c>
    </row>
    <row r="227" customFormat="false" ht="14.25" hidden="false" customHeight="false" outlineLevel="0" collapsed="false">
      <c r="A227" s="1" t="n">
        <v>39498</v>
      </c>
      <c r="C227" s="1" t="s">
        <v>558</v>
      </c>
      <c r="I227" s="1" t="n">
        <v>202100</v>
      </c>
      <c r="J227" s="1" t="n">
        <v>-1276507.09</v>
      </c>
    </row>
    <row r="228" customFormat="false" ht="14.25" hidden="false" customHeight="false" outlineLevel="0" collapsed="false">
      <c r="A228" s="1" t="n">
        <v>39498</v>
      </c>
      <c r="C228" s="1" t="s">
        <v>559</v>
      </c>
      <c r="I228" s="1" t="n">
        <v>202100</v>
      </c>
      <c r="J228" s="1" t="n">
        <v>-244263.35</v>
      </c>
    </row>
    <row r="229" customFormat="false" ht="14.25" hidden="false" customHeight="false" outlineLevel="0" collapsed="false">
      <c r="A229" s="1" t="n">
        <v>39498</v>
      </c>
      <c r="C229" s="1" t="s">
        <v>560</v>
      </c>
      <c r="I229" s="1" t="n">
        <v>202100</v>
      </c>
      <c r="J229" s="1" t="n">
        <v>-318399.43</v>
      </c>
    </row>
    <row r="230" customFormat="false" ht="14.25" hidden="false" customHeight="false" outlineLevel="0" collapsed="false">
      <c r="A230" s="1" t="n">
        <v>39498</v>
      </c>
      <c r="C230" s="1" t="s">
        <v>561</v>
      </c>
      <c r="I230" s="1" t="n">
        <v>202100</v>
      </c>
      <c r="J230" s="1" t="n">
        <v>-2199400</v>
      </c>
    </row>
    <row r="231" customFormat="false" ht="14.25" hidden="false" customHeight="false" outlineLevel="0" collapsed="false">
      <c r="A231" s="1" t="n">
        <v>39498</v>
      </c>
      <c r="C231" s="1" t="s">
        <v>562</v>
      </c>
      <c r="I231" s="1" t="n">
        <v>202100</v>
      </c>
      <c r="J231" s="1" t="n">
        <v>-167400</v>
      </c>
    </row>
    <row r="232" customFormat="false" ht="14.25" hidden="false" customHeight="false" outlineLevel="0" collapsed="false">
      <c r="A232" s="1" t="n">
        <v>39498</v>
      </c>
      <c r="C232" s="1" t="s">
        <v>563</v>
      </c>
      <c r="I232" s="1" t="n">
        <v>202100</v>
      </c>
      <c r="J232" s="1" t="n">
        <v>-254900</v>
      </c>
    </row>
    <row r="233" customFormat="false" ht="14.25" hidden="false" customHeight="false" outlineLevel="0" collapsed="false">
      <c r="A233" s="1" t="n">
        <v>39498</v>
      </c>
      <c r="C233" s="1" t="s">
        <v>564</v>
      </c>
      <c r="I233" s="1" t="n">
        <v>202100</v>
      </c>
      <c r="J233" s="1" t="n">
        <v>-167600</v>
      </c>
    </row>
    <row r="234" customFormat="false" ht="14.25" hidden="false" customHeight="false" outlineLevel="0" collapsed="false">
      <c r="A234" s="1" t="n">
        <v>39498</v>
      </c>
      <c r="C234" s="1" t="s">
        <v>565</v>
      </c>
      <c r="I234" s="1" t="n">
        <v>202100</v>
      </c>
      <c r="J234" s="1" t="n">
        <v>-1454200</v>
      </c>
    </row>
    <row r="235" customFormat="false" ht="14.25" hidden="false" customHeight="false" outlineLevel="0" collapsed="false">
      <c r="A235" s="1" t="n">
        <v>39498</v>
      </c>
      <c r="C235" s="1" t="s">
        <v>566</v>
      </c>
      <c r="I235" s="1" t="n">
        <v>202100</v>
      </c>
      <c r="J235" s="1" t="n">
        <v>-428600</v>
      </c>
    </row>
    <row r="236" customFormat="false" ht="14.25" hidden="false" customHeight="false" outlineLevel="0" collapsed="false">
      <c r="A236" s="1" t="n">
        <v>40</v>
      </c>
      <c r="C236" s="1" t="s">
        <v>357</v>
      </c>
      <c r="I236" s="1" t="n">
        <v>202100</v>
      </c>
      <c r="J236" s="1" t="n">
        <v>220007.46</v>
      </c>
    </row>
    <row r="237" customFormat="false" ht="14.25" hidden="false" customHeight="false" outlineLevel="0" collapsed="false">
      <c r="A237" s="1" t="n">
        <v>40</v>
      </c>
      <c r="C237" s="1" t="s">
        <v>359</v>
      </c>
      <c r="I237" s="1" t="n">
        <v>202100</v>
      </c>
      <c r="J237" s="1" t="n">
        <v>3240275.27</v>
      </c>
    </row>
    <row r="238" customFormat="false" ht="14.25" hidden="false" customHeight="false" outlineLevel="0" collapsed="false">
      <c r="A238" s="1" t="n">
        <v>40</v>
      </c>
      <c r="C238" s="1" t="s">
        <v>362</v>
      </c>
      <c r="I238" s="1" t="n">
        <v>202100</v>
      </c>
      <c r="J238" s="1" t="n">
        <v>290832</v>
      </c>
    </row>
    <row r="239" customFormat="false" ht="14.25" hidden="false" customHeight="false" outlineLevel="0" collapsed="false">
      <c r="A239" s="1" t="n">
        <v>40</v>
      </c>
      <c r="C239" s="1" t="s">
        <v>364</v>
      </c>
      <c r="I239" s="1" t="n">
        <v>202100</v>
      </c>
      <c r="J239" s="1" t="n">
        <v>877869</v>
      </c>
    </row>
    <row r="240" customFormat="false" ht="14.25" hidden="false" customHeight="false" outlineLevel="0" collapsed="false">
      <c r="A240" s="1" t="n">
        <v>40</v>
      </c>
      <c r="C240" s="1" t="s">
        <v>366</v>
      </c>
      <c r="I240" s="1" t="n">
        <v>202100</v>
      </c>
      <c r="J240" s="1" t="n">
        <v>305475</v>
      </c>
    </row>
    <row r="241" customFormat="false" ht="14.25" hidden="false" customHeight="false" outlineLevel="0" collapsed="false">
      <c r="A241" s="1" t="n">
        <v>40</v>
      </c>
      <c r="C241" s="1" t="s">
        <v>368</v>
      </c>
      <c r="I241" s="1" t="n">
        <v>202100</v>
      </c>
      <c r="J241" s="1" t="n">
        <v>5589238.5</v>
      </c>
    </row>
    <row r="242" customFormat="false" ht="14.25" hidden="false" customHeight="false" outlineLevel="0" collapsed="false">
      <c r="A242" s="1" t="n">
        <v>40</v>
      </c>
      <c r="C242" s="1" t="s">
        <v>371</v>
      </c>
      <c r="I242" s="1" t="n">
        <v>202100</v>
      </c>
      <c r="J242" s="1" t="n">
        <v>210</v>
      </c>
    </row>
    <row r="243" customFormat="false" ht="14.25" hidden="false" customHeight="false" outlineLevel="0" collapsed="false">
      <c r="A243" s="1" t="n">
        <v>40</v>
      </c>
      <c r="C243" s="1" t="s">
        <v>373</v>
      </c>
      <c r="I243" s="1" t="n">
        <v>202100</v>
      </c>
      <c r="J243" s="1" t="n">
        <v>158574.55</v>
      </c>
    </row>
    <row r="244" customFormat="false" ht="14.25" hidden="false" customHeight="false" outlineLevel="0" collapsed="false">
      <c r="A244" s="1" t="n">
        <v>40</v>
      </c>
      <c r="C244" s="1" t="s">
        <v>375</v>
      </c>
      <c r="I244" s="1" t="n">
        <v>202100</v>
      </c>
      <c r="J244" s="1" t="n">
        <v>2753828.24</v>
      </c>
    </row>
    <row r="245" customFormat="false" ht="14.25" hidden="false" customHeight="false" outlineLevel="0" collapsed="false">
      <c r="A245" s="1" t="n">
        <v>40</v>
      </c>
      <c r="C245" s="1" t="s">
        <v>377</v>
      </c>
      <c r="I245" s="1" t="n">
        <v>202100</v>
      </c>
      <c r="J245" s="1" t="n">
        <v>276886.55</v>
      </c>
    </row>
    <row r="246" customFormat="false" ht="14.25" hidden="false" customHeight="false" outlineLevel="0" collapsed="false">
      <c r="A246" s="1" t="n">
        <v>40</v>
      </c>
      <c r="C246" s="1" t="s">
        <v>379</v>
      </c>
      <c r="I246" s="1" t="n">
        <v>202100</v>
      </c>
      <c r="J246" s="1" t="n">
        <v>168633.46</v>
      </c>
    </row>
    <row r="247" customFormat="false" ht="14.25" hidden="false" customHeight="false" outlineLevel="0" collapsed="false">
      <c r="A247" s="1" t="n">
        <v>40</v>
      </c>
      <c r="C247" s="1" t="s">
        <v>380</v>
      </c>
      <c r="I247" s="1" t="n">
        <v>202100</v>
      </c>
      <c r="J247" s="1" t="n">
        <v>4291913.36</v>
      </c>
    </row>
    <row r="248" customFormat="false" ht="14.25" hidden="false" customHeight="false" outlineLevel="0" collapsed="false">
      <c r="A248" s="1" t="n">
        <v>40</v>
      </c>
      <c r="C248" s="1" t="s">
        <v>381</v>
      </c>
      <c r="I248" s="1" t="n">
        <v>202100</v>
      </c>
      <c r="J248" s="1" t="n">
        <v>13424.22</v>
      </c>
    </row>
    <row r="249" customFormat="false" ht="14.25" hidden="false" customHeight="false" outlineLevel="0" collapsed="false">
      <c r="A249" s="1" t="n">
        <v>40</v>
      </c>
      <c r="C249" s="1" t="s">
        <v>382</v>
      </c>
      <c r="I249" s="1" t="n">
        <v>202100</v>
      </c>
      <c r="J249" s="1" t="n">
        <v>209994.58</v>
      </c>
    </row>
    <row r="250" customFormat="false" ht="14.25" hidden="false" customHeight="false" outlineLevel="0" collapsed="false">
      <c r="A250" s="1" t="n">
        <v>40</v>
      </c>
      <c r="C250" s="1" t="s">
        <v>384</v>
      </c>
      <c r="I250" s="1" t="n">
        <v>202100</v>
      </c>
      <c r="J250" s="1" t="n">
        <v>456768</v>
      </c>
    </row>
    <row r="251" customFormat="false" ht="14.25" hidden="false" customHeight="false" outlineLevel="0" collapsed="false">
      <c r="A251" s="1" t="n">
        <v>40</v>
      </c>
      <c r="C251" s="1" t="s">
        <v>385</v>
      </c>
      <c r="I251" s="1" t="n">
        <v>202100</v>
      </c>
      <c r="J251" s="1" t="n">
        <v>2156544</v>
      </c>
    </row>
    <row r="252" customFormat="false" ht="14.25" hidden="false" customHeight="false" outlineLevel="0" collapsed="false">
      <c r="A252" s="1" t="n">
        <v>40</v>
      </c>
      <c r="C252" s="1" t="s">
        <v>386</v>
      </c>
      <c r="I252" s="1" t="n">
        <v>202100</v>
      </c>
      <c r="J252" s="1" t="n">
        <v>628992</v>
      </c>
    </row>
    <row r="253" customFormat="false" ht="14.25" hidden="false" customHeight="false" outlineLevel="0" collapsed="false">
      <c r="A253" s="1" t="n">
        <v>40</v>
      </c>
      <c r="C253" s="1" t="s">
        <v>387</v>
      </c>
      <c r="I253" s="1" t="n">
        <v>202100</v>
      </c>
      <c r="J253" s="1" t="n">
        <v>1035216</v>
      </c>
    </row>
    <row r="254" customFormat="false" ht="14.25" hidden="false" customHeight="false" outlineLevel="0" collapsed="false">
      <c r="A254" s="1" t="n">
        <v>40</v>
      </c>
      <c r="C254" s="1" t="s">
        <v>388</v>
      </c>
      <c r="I254" s="1" t="n">
        <v>202100</v>
      </c>
      <c r="J254" s="1" t="n">
        <v>492398.4</v>
      </c>
    </row>
    <row r="255" customFormat="false" ht="14.25" hidden="false" customHeight="false" outlineLevel="0" collapsed="false">
      <c r="A255" s="1" t="n">
        <v>40</v>
      </c>
      <c r="C255" s="1" t="s">
        <v>389</v>
      </c>
      <c r="I255" s="1" t="n">
        <v>202100</v>
      </c>
      <c r="J255" s="1" t="n">
        <v>2276133.6</v>
      </c>
    </row>
    <row r="256" customFormat="false" ht="14.25" hidden="false" customHeight="false" outlineLevel="0" collapsed="false">
      <c r="A256" s="1" t="n">
        <v>40</v>
      </c>
      <c r="C256" s="1" t="s">
        <v>392</v>
      </c>
      <c r="I256" s="1" t="n">
        <v>202100</v>
      </c>
      <c r="J256" s="1" t="n">
        <v>455690.79</v>
      </c>
    </row>
    <row r="257" customFormat="false" ht="14.25" hidden="false" customHeight="false" outlineLevel="0" collapsed="false">
      <c r="A257" s="1" t="n">
        <v>40</v>
      </c>
      <c r="C257" s="1" t="s">
        <v>393</v>
      </c>
      <c r="I257" s="1" t="n">
        <v>202100</v>
      </c>
      <c r="J257" s="1" t="n">
        <v>2647346.52</v>
      </c>
    </row>
    <row r="258" customFormat="false" ht="14.25" hidden="false" customHeight="false" outlineLevel="0" collapsed="false">
      <c r="A258" s="1" t="n">
        <v>40</v>
      </c>
      <c r="C258" s="1" t="s">
        <v>394</v>
      </c>
      <c r="I258" s="1" t="n">
        <v>202100</v>
      </c>
      <c r="J258" s="1" t="n">
        <v>487957.1</v>
      </c>
    </row>
    <row r="259" customFormat="false" ht="14.25" hidden="false" customHeight="false" outlineLevel="0" collapsed="false">
      <c r="A259" s="1" t="n">
        <v>40</v>
      </c>
      <c r="C259" s="1" t="s">
        <v>395</v>
      </c>
      <c r="I259" s="1" t="n">
        <v>202100</v>
      </c>
      <c r="J259" s="1" t="n">
        <v>274829.66</v>
      </c>
    </row>
    <row r="260" customFormat="false" ht="14.25" hidden="false" customHeight="false" outlineLevel="0" collapsed="false">
      <c r="A260" s="1" t="n">
        <v>40</v>
      </c>
      <c r="C260" s="1" t="s">
        <v>396</v>
      </c>
      <c r="I260" s="1" t="n">
        <v>202100</v>
      </c>
      <c r="J260" s="1" t="n">
        <v>317002.29</v>
      </c>
    </row>
    <row r="261" customFormat="false" ht="14.25" hidden="false" customHeight="false" outlineLevel="0" collapsed="false">
      <c r="A261" s="1" t="n">
        <v>40</v>
      </c>
      <c r="C261" s="1" t="s">
        <v>397</v>
      </c>
      <c r="I261" s="1" t="n">
        <v>202100</v>
      </c>
      <c r="J261" s="1" t="n">
        <v>2853020.62</v>
      </c>
    </row>
    <row r="262" customFormat="false" ht="14.25" hidden="false" customHeight="false" outlineLevel="0" collapsed="false">
      <c r="A262" s="1" t="n">
        <v>40</v>
      </c>
      <c r="C262" s="1" t="s">
        <v>398</v>
      </c>
      <c r="I262" s="1" t="n">
        <v>202100</v>
      </c>
      <c r="J262" s="1" t="n">
        <v>59300</v>
      </c>
    </row>
    <row r="263" customFormat="false" ht="14.25" hidden="false" customHeight="false" outlineLevel="0" collapsed="false">
      <c r="A263" s="1" t="n">
        <v>40</v>
      </c>
      <c r="C263" s="1" t="s">
        <v>399</v>
      </c>
      <c r="I263" s="1" t="n">
        <v>202100</v>
      </c>
      <c r="J263" s="1" t="n">
        <v>2776200</v>
      </c>
    </row>
    <row r="264" customFormat="false" ht="14.25" hidden="false" customHeight="false" outlineLevel="0" collapsed="false">
      <c r="A264" s="1" t="n">
        <v>40</v>
      </c>
      <c r="C264" s="1" t="s">
        <v>400</v>
      </c>
      <c r="I264" s="1" t="n">
        <v>202100</v>
      </c>
      <c r="J264" s="1" t="n">
        <v>158900</v>
      </c>
    </row>
    <row r="265" customFormat="false" ht="14.25" hidden="false" customHeight="false" outlineLevel="0" collapsed="false">
      <c r="A265" s="1" t="n">
        <v>40</v>
      </c>
      <c r="C265" s="1" t="s">
        <v>401</v>
      </c>
      <c r="I265" s="1" t="n">
        <v>202100</v>
      </c>
      <c r="J265" s="1" t="n">
        <v>692600</v>
      </c>
    </row>
    <row r="266" customFormat="false" ht="14.25" hidden="false" customHeight="false" outlineLevel="0" collapsed="false">
      <c r="A266" s="1" t="n">
        <v>40</v>
      </c>
      <c r="C266" s="1" t="s">
        <v>402</v>
      </c>
      <c r="I266" s="1" t="n">
        <v>202100</v>
      </c>
      <c r="J266" s="1" t="n">
        <v>133600</v>
      </c>
    </row>
    <row r="267" customFormat="false" ht="14.25" hidden="false" customHeight="false" outlineLevel="0" collapsed="false">
      <c r="A267" s="1" t="n">
        <v>40</v>
      </c>
      <c r="C267" s="1" t="s">
        <v>403</v>
      </c>
      <c r="I267" s="1" t="n">
        <v>202100</v>
      </c>
      <c r="J267" s="1" t="n">
        <v>4552900</v>
      </c>
    </row>
    <row r="268" customFormat="false" ht="14.25" hidden="false" customHeight="false" outlineLevel="0" collapsed="false">
      <c r="A268" s="1" t="n">
        <v>40</v>
      </c>
      <c r="C268" s="1" t="s">
        <v>404</v>
      </c>
      <c r="I268" s="1" t="n">
        <v>202100</v>
      </c>
      <c r="J268" s="1" t="n">
        <v>14300</v>
      </c>
    </row>
    <row r="269" customFormat="false" ht="14.25" hidden="false" customHeight="false" outlineLevel="0" collapsed="false">
      <c r="A269" s="1" t="n">
        <v>40</v>
      </c>
      <c r="C269" s="1" t="s">
        <v>405</v>
      </c>
      <c r="I269" s="1" t="n">
        <v>202100</v>
      </c>
      <c r="J269" s="1" t="n">
        <v>287700</v>
      </c>
    </row>
    <row r="270" customFormat="false" ht="14.25" hidden="false" customHeight="false" outlineLevel="0" collapsed="false">
      <c r="A270" s="1" t="n">
        <v>40</v>
      </c>
      <c r="C270" s="1" t="s">
        <v>406</v>
      </c>
      <c r="I270" s="1" t="n">
        <v>202100</v>
      </c>
      <c r="J270" s="1" t="n">
        <v>113443.2</v>
      </c>
    </row>
    <row r="271" customFormat="false" ht="14.25" hidden="false" customHeight="false" outlineLevel="0" collapsed="false">
      <c r="A271" s="1" t="n">
        <v>40</v>
      </c>
      <c r="C271" s="1" t="s">
        <v>407</v>
      </c>
      <c r="I271" s="1" t="n">
        <v>202100</v>
      </c>
      <c r="J271" s="1" t="n">
        <v>3524788.8</v>
      </c>
    </row>
    <row r="272" customFormat="false" ht="14.25" hidden="false" customHeight="false" outlineLevel="0" collapsed="false">
      <c r="A272" s="1" t="n">
        <v>40</v>
      </c>
      <c r="C272" s="1" t="s">
        <v>408</v>
      </c>
      <c r="I272" s="1" t="n">
        <v>202100</v>
      </c>
      <c r="J272" s="1" t="n">
        <v>1428429.6</v>
      </c>
    </row>
    <row r="273" customFormat="false" ht="14.25" hidden="false" customHeight="false" outlineLevel="0" collapsed="false">
      <c r="A273" s="1" t="n">
        <v>40</v>
      </c>
      <c r="C273" s="1" t="s">
        <v>409</v>
      </c>
      <c r="I273" s="1" t="n">
        <v>202100</v>
      </c>
      <c r="J273" s="1" t="n">
        <v>1115150.4</v>
      </c>
    </row>
    <row r="274" customFormat="false" ht="14.25" hidden="false" customHeight="false" outlineLevel="0" collapsed="false">
      <c r="A274" s="1" t="n">
        <v>40</v>
      </c>
      <c r="C274" s="1" t="s">
        <v>410</v>
      </c>
      <c r="I274" s="1" t="n">
        <v>202100</v>
      </c>
      <c r="J274" s="1" t="n">
        <v>111384</v>
      </c>
    </row>
    <row r="275" customFormat="false" ht="14.25" hidden="false" customHeight="false" outlineLevel="0" collapsed="false">
      <c r="A275" s="1" t="n">
        <v>40</v>
      </c>
      <c r="C275" s="1" t="s">
        <v>411</v>
      </c>
      <c r="I275" s="1" t="n">
        <v>202100</v>
      </c>
      <c r="J275" s="1" t="n">
        <v>3951324</v>
      </c>
    </row>
    <row r="276" customFormat="false" ht="14.25" hidden="false" customHeight="false" outlineLevel="0" collapsed="false">
      <c r="A276" s="1" t="n">
        <v>40</v>
      </c>
      <c r="C276" s="1" t="s">
        <v>412</v>
      </c>
      <c r="I276" s="1" t="n">
        <v>202100</v>
      </c>
      <c r="J276" s="1" t="n">
        <v>1234584</v>
      </c>
    </row>
    <row r="277" customFormat="false" ht="14.25" hidden="false" customHeight="false" outlineLevel="0" collapsed="false">
      <c r="A277" s="1" t="n">
        <v>40</v>
      </c>
      <c r="C277" s="1" t="s">
        <v>413</v>
      </c>
      <c r="I277" s="1" t="n">
        <v>202100</v>
      </c>
      <c r="J277" s="1" t="n">
        <v>504640</v>
      </c>
    </row>
    <row r="278" customFormat="false" ht="14.25" hidden="false" customHeight="false" outlineLevel="0" collapsed="false">
      <c r="A278" s="1" t="n">
        <v>40</v>
      </c>
      <c r="C278" s="1" t="s">
        <v>414</v>
      </c>
      <c r="I278" s="1" t="n">
        <v>202100</v>
      </c>
      <c r="J278" s="1" t="n">
        <v>2155360</v>
      </c>
    </row>
    <row r="279" customFormat="false" ht="14.25" hidden="false" customHeight="false" outlineLevel="0" collapsed="false">
      <c r="A279" s="1" t="n">
        <v>40</v>
      </c>
      <c r="C279" s="1" t="s">
        <v>415</v>
      </c>
      <c r="I279" s="1" t="n">
        <v>202100</v>
      </c>
      <c r="J279" s="1" t="n">
        <v>362800</v>
      </c>
    </row>
    <row r="280" customFormat="false" ht="14.25" hidden="false" customHeight="false" outlineLevel="0" collapsed="false">
      <c r="A280" s="1" t="n">
        <v>40</v>
      </c>
      <c r="C280" s="1" t="s">
        <v>416</v>
      </c>
      <c r="I280" s="1" t="n">
        <v>202100</v>
      </c>
      <c r="J280" s="1" t="n">
        <v>367245</v>
      </c>
    </row>
    <row r="281" customFormat="false" ht="14.25" hidden="false" customHeight="false" outlineLevel="0" collapsed="false">
      <c r="A281" s="1" t="n">
        <v>40</v>
      </c>
      <c r="C281" s="1" t="s">
        <v>417</v>
      </c>
      <c r="I281" s="1" t="n">
        <v>202100</v>
      </c>
      <c r="J281" s="1" t="n">
        <v>2234505</v>
      </c>
    </row>
    <row r="282" customFormat="false" ht="14.25" hidden="false" customHeight="false" outlineLevel="0" collapsed="false">
      <c r="A282" s="1" t="n">
        <v>40</v>
      </c>
      <c r="C282" s="1" t="s">
        <v>418</v>
      </c>
      <c r="I282" s="1" t="n">
        <v>202100</v>
      </c>
      <c r="J282" s="1" t="n">
        <v>81200</v>
      </c>
    </row>
    <row r="283" customFormat="false" ht="14.25" hidden="false" customHeight="false" outlineLevel="0" collapsed="false">
      <c r="A283" s="1" t="n">
        <v>40</v>
      </c>
      <c r="C283" s="1" t="s">
        <v>419</v>
      </c>
      <c r="I283" s="1" t="n">
        <v>202100</v>
      </c>
      <c r="J283" s="1" t="n">
        <v>932175</v>
      </c>
    </row>
    <row r="284" customFormat="false" ht="14.25" hidden="false" customHeight="false" outlineLevel="0" collapsed="false">
      <c r="A284" s="1" t="n">
        <v>40</v>
      </c>
      <c r="C284" s="1" t="s">
        <v>420</v>
      </c>
      <c r="I284" s="1" t="n">
        <v>202100</v>
      </c>
      <c r="J284" s="1" t="n">
        <v>154750</v>
      </c>
    </row>
    <row r="285" customFormat="false" ht="14.25" hidden="false" customHeight="false" outlineLevel="0" collapsed="false">
      <c r="A285" s="1" t="n">
        <v>40</v>
      </c>
      <c r="C285" s="1" t="s">
        <v>421</v>
      </c>
      <c r="I285" s="1" t="n">
        <v>202100</v>
      </c>
      <c r="J285" s="1" t="n">
        <v>2169750</v>
      </c>
    </row>
    <row r="286" customFormat="false" ht="14.25" hidden="false" customHeight="false" outlineLevel="0" collapsed="false">
      <c r="A286" s="1" t="n">
        <v>40</v>
      </c>
      <c r="C286" s="1" t="s">
        <v>422</v>
      </c>
      <c r="I286" s="1" t="n">
        <v>202100</v>
      </c>
      <c r="J286" s="1" t="n">
        <v>411450</v>
      </c>
    </row>
    <row r="287" customFormat="false" ht="14.25" hidden="false" customHeight="false" outlineLevel="0" collapsed="false">
      <c r="A287" s="1" t="n">
        <v>40</v>
      </c>
      <c r="C287" s="1" t="s">
        <v>423</v>
      </c>
      <c r="I287" s="1" t="n">
        <v>202100</v>
      </c>
      <c r="J287" s="1" t="n">
        <v>732050</v>
      </c>
    </row>
    <row r="288" customFormat="false" ht="14.25" hidden="false" customHeight="false" outlineLevel="0" collapsed="false">
      <c r="A288" s="1" t="n">
        <v>40</v>
      </c>
      <c r="C288" s="1" t="s">
        <v>424</v>
      </c>
      <c r="I288" s="1" t="n">
        <v>202100</v>
      </c>
      <c r="J288" s="1" t="n">
        <v>468750</v>
      </c>
    </row>
    <row r="289" customFormat="false" ht="14.25" hidden="false" customHeight="false" outlineLevel="0" collapsed="false">
      <c r="A289" s="1" t="n">
        <v>40</v>
      </c>
      <c r="C289" s="1" t="s">
        <v>425</v>
      </c>
      <c r="I289" s="1" t="n">
        <v>202100</v>
      </c>
      <c r="J289" s="1" t="n">
        <v>7775750</v>
      </c>
    </row>
    <row r="290" customFormat="false" ht="14.25" hidden="false" customHeight="false" outlineLevel="0" collapsed="false">
      <c r="A290" s="1" t="n">
        <v>40</v>
      </c>
      <c r="C290" s="1" t="s">
        <v>426</v>
      </c>
      <c r="I290" s="1" t="n">
        <v>202100</v>
      </c>
      <c r="J290" s="1" t="n">
        <v>179750</v>
      </c>
    </row>
    <row r="291" customFormat="false" ht="14.25" hidden="false" customHeight="false" outlineLevel="0" collapsed="false">
      <c r="A291" s="1" t="n">
        <v>40</v>
      </c>
      <c r="C291" s="1" t="s">
        <v>427</v>
      </c>
      <c r="I291" s="1" t="n">
        <v>202100</v>
      </c>
      <c r="J291" s="1" t="n">
        <v>1961750</v>
      </c>
    </row>
    <row r="292" customFormat="false" ht="14.25" hidden="false" customHeight="false" outlineLevel="0" collapsed="false">
      <c r="A292" s="1" t="n">
        <v>40</v>
      </c>
      <c r="C292" s="1" t="s">
        <v>428</v>
      </c>
      <c r="I292" s="1" t="n">
        <v>202100</v>
      </c>
      <c r="J292" s="1" t="n">
        <v>339750</v>
      </c>
    </row>
    <row r="293" customFormat="false" ht="14.25" hidden="false" customHeight="false" outlineLevel="0" collapsed="false">
      <c r="A293" s="1" t="n">
        <v>40</v>
      </c>
      <c r="C293" s="1" t="s">
        <v>429</v>
      </c>
      <c r="I293" s="1" t="n">
        <v>202100</v>
      </c>
      <c r="J293" s="1" t="n">
        <v>6455250</v>
      </c>
    </row>
    <row r="294" customFormat="false" ht="14.25" hidden="false" customHeight="false" outlineLevel="0" collapsed="false">
      <c r="A294" s="1" t="n">
        <v>40</v>
      </c>
      <c r="C294" s="1" t="s">
        <v>430</v>
      </c>
      <c r="I294" s="1" t="n">
        <v>202100</v>
      </c>
      <c r="J294" s="1" t="n">
        <v>949200</v>
      </c>
    </row>
    <row r="295" customFormat="false" ht="14.25" hidden="false" customHeight="false" outlineLevel="0" collapsed="false">
      <c r="A295" s="1" t="n">
        <v>40</v>
      </c>
      <c r="C295" s="1" t="s">
        <v>431</v>
      </c>
      <c r="I295" s="1" t="n">
        <v>202100</v>
      </c>
      <c r="J295" s="1" t="n">
        <v>27440</v>
      </c>
    </row>
    <row r="296" customFormat="false" ht="14.25" hidden="false" customHeight="false" outlineLevel="0" collapsed="false">
      <c r="A296" s="1" t="n">
        <v>40</v>
      </c>
      <c r="C296" s="1" t="s">
        <v>432</v>
      </c>
      <c r="I296" s="1" t="n">
        <v>202100</v>
      </c>
      <c r="J296" s="1" t="n">
        <v>890360</v>
      </c>
    </row>
    <row r="297" customFormat="false" ht="14.25" hidden="false" customHeight="false" outlineLevel="0" collapsed="false">
      <c r="A297" s="1" t="n">
        <v>40</v>
      </c>
      <c r="C297" s="1" t="s">
        <v>433</v>
      </c>
      <c r="I297" s="1" t="n">
        <v>202100</v>
      </c>
      <c r="J297" s="1" t="n">
        <v>3036000</v>
      </c>
    </row>
    <row r="298" customFormat="false" ht="14.25" hidden="false" customHeight="false" outlineLevel="0" collapsed="false">
      <c r="A298" s="1" t="n">
        <v>40</v>
      </c>
      <c r="C298" s="1" t="s">
        <v>434</v>
      </c>
      <c r="I298" s="1" t="n">
        <v>202100</v>
      </c>
      <c r="J298" s="1" t="n">
        <v>1839150</v>
      </c>
    </row>
    <row r="299" customFormat="false" ht="14.25" hidden="false" customHeight="false" outlineLevel="0" collapsed="false">
      <c r="A299" s="1" t="n">
        <v>40</v>
      </c>
      <c r="C299" s="1" t="s">
        <v>435</v>
      </c>
      <c r="I299" s="1" t="n">
        <v>202100</v>
      </c>
      <c r="J299" s="1" t="n">
        <v>320000</v>
      </c>
    </row>
    <row r="300" customFormat="false" ht="14.25" hidden="false" customHeight="false" outlineLevel="0" collapsed="false">
      <c r="A300" s="1" t="n">
        <v>40</v>
      </c>
      <c r="C300" s="1" t="s">
        <v>436</v>
      </c>
      <c r="I300" s="1" t="n">
        <v>202100</v>
      </c>
      <c r="J300" s="1" t="n">
        <v>320000</v>
      </c>
    </row>
    <row r="301" customFormat="false" ht="14.25" hidden="false" customHeight="false" outlineLevel="0" collapsed="false">
      <c r="A301" s="1" t="n">
        <v>40</v>
      </c>
      <c r="C301" s="1" t="s">
        <v>437</v>
      </c>
      <c r="I301" s="1" t="n">
        <v>202100</v>
      </c>
      <c r="J301" s="1" t="n">
        <v>462000</v>
      </c>
    </row>
    <row r="302" customFormat="false" ht="14.25" hidden="false" customHeight="false" outlineLevel="0" collapsed="false">
      <c r="A302" s="1" t="n">
        <v>40</v>
      </c>
      <c r="C302" s="1" t="s">
        <v>438</v>
      </c>
      <c r="I302" s="1" t="n">
        <v>202100</v>
      </c>
      <c r="J302" s="1" t="n">
        <v>248000</v>
      </c>
    </row>
    <row r="303" customFormat="false" ht="14.25" hidden="false" customHeight="false" outlineLevel="0" collapsed="false">
      <c r="A303" s="1" t="n">
        <v>40</v>
      </c>
      <c r="C303" s="1" t="s">
        <v>439</v>
      </c>
      <c r="I303" s="1" t="n">
        <v>202100</v>
      </c>
      <c r="J303" s="1" t="n">
        <v>398750</v>
      </c>
    </row>
    <row r="304" customFormat="false" ht="14.25" hidden="false" customHeight="false" outlineLevel="0" collapsed="false">
      <c r="A304" s="1" t="n">
        <v>40</v>
      </c>
      <c r="C304" s="1" t="s">
        <v>440</v>
      </c>
      <c r="I304" s="1" t="n">
        <v>202100</v>
      </c>
      <c r="J304" s="1" t="n">
        <v>1715000</v>
      </c>
    </row>
    <row r="305" customFormat="false" ht="14.25" hidden="false" customHeight="false" outlineLevel="0" collapsed="false">
      <c r="A305" s="1" t="n">
        <v>40</v>
      </c>
      <c r="C305" s="1" t="s">
        <v>441</v>
      </c>
      <c r="I305" s="1" t="n">
        <v>202100</v>
      </c>
      <c r="J305" s="1" t="n">
        <v>236250</v>
      </c>
    </row>
    <row r="306" customFormat="false" ht="14.25" hidden="false" customHeight="false" outlineLevel="0" collapsed="false">
      <c r="A306" s="1" t="n">
        <v>40</v>
      </c>
      <c r="C306" s="1" t="s">
        <v>442</v>
      </c>
      <c r="I306" s="1" t="n">
        <v>202100</v>
      </c>
      <c r="J306" s="1" t="n">
        <v>405000</v>
      </c>
    </row>
    <row r="307" customFormat="false" ht="14.25" hidden="false" customHeight="false" outlineLevel="0" collapsed="false">
      <c r="A307" s="1" t="n">
        <v>40</v>
      </c>
      <c r="C307" s="1" t="s">
        <v>443</v>
      </c>
      <c r="I307" s="1" t="n">
        <v>202100</v>
      </c>
      <c r="J307" s="1" t="n">
        <v>1902800</v>
      </c>
    </row>
    <row r="308" customFormat="false" ht="14.25" hidden="false" customHeight="false" outlineLevel="0" collapsed="false">
      <c r="A308" s="1" t="n">
        <v>40</v>
      </c>
      <c r="C308" s="1" t="s">
        <v>444</v>
      </c>
      <c r="I308" s="1" t="n">
        <v>202100</v>
      </c>
      <c r="J308" s="1" t="n">
        <v>2116150</v>
      </c>
    </row>
    <row r="309" customFormat="false" ht="14.25" hidden="false" customHeight="false" outlineLevel="0" collapsed="false">
      <c r="A309" s="1" t="n">
        <v>40</v>
      </c>
      <c r="C309" s="1" t="s">
        <v>445</v>
      </c>
      <c r="I309" s="1" t="n">
        <v>202100</v>
      </c>
      <c r="J309" s="1" t="n">
        <v>965000</v>
      </c>
    </row>
    <row r="310" customFormat="false" ht="14.25" hidden="false" customHeight="false" outlineLevel="0" collapsed="false">
      <c r="A310" s="1" t="n">
        <v>40</v>
      </c>
      <c r="C310" s="1" t="s">
        <v>446</v>
      </c>
      <c r="I310" s="1" t="n">
        <v>202100</v>
      </c>
      <c r="J310" s="1" t="n">
        <v>1417700</v>
      </c>
    </row>
    <row r="311" customFormat="false" ht="14.25" hidden="false" customHeight="false" outlineLevel="0" collapsed="false">
      <c r="A311" s="1" t="n">
        <v>40</v>
      </c>
      <c r="C311" s="1" t="s">
        <v>447</v>
      </c>
      <c r="I311" s="1" t="n">
        <v>202100</v>
      </c>
      <c r="J311" s="1" t="n">
        <v>3138590</v>
      </c>
    </row>
    <row r="312" customFormat="false" ht="14.25" hidden="false" customHeight="false" outlineLevel="0" collapsed="false">
      <c r="A312" s="1" t="n">
        <v>40</v>
      </c>
      <c r="C312" s="1" t="s">
        <v>448</v>
      </c>
      <c r="I312" s="1" t="n">
        <v>202100</v>
      </c>
      <c r="J312" s="1" t="n">
        <v>4442430</v>
      </c>
    </row>
    <row r="313" customFormat="false" ht="14.25" hidden="false" customHeight="false" outlineLevel="0" collapsed="false">
      <c r="A313" s="1" t="n">
        <v>40</v>
      </c>
      <c r="C313" s="1" t="s">
        <v>449</v>
      </c>
      <c r="I313" s="1" t="n">
        <v>202100</v>
      </c>
      <c r="J313" s="1" t="n">
        <v>1499255</v>
      </c>
    </row>
    <row r="314" customFormat="false" ht="14.25" hidden="false" customHeight="false" outlineLevel="0" collapsed="false">
      <c r="A314" s="1" t="n">
        <v>40</v>
      </c>
      <c r="C314" s="1" t="s">
        <v>450</v>
      </c>
      <c r="I314" s="1" t="n">
        <v>202100</v>
      </c>
      <c r="J314" s="1" t="n">
        <v>1814375</v>
      </c>
    </row>
    <row r="315" customFormat="false" ht="14.25" hidden="false" customHeight="false" outlineLevel="0" collapsed="false">
      <c r="A315" s="1" t="n">
        <v>40</v>
      </c>
      <c r="C315" s="1" t="s">
        <v>451</v>
      </c>
      <c r="I315" s="1" t="n">
        <v>202100</v>
      </c>
      <c r="J315" s="1" t="n">
        <v>268604.88</v>
      </c>
    </row>
    <row r="316" customFormat="false" ht="14.25" hidden="false" customHeight="false" outlineLevel="0" collapsed="false">
      <c r="A316" s="1" t="n">
        <v>40</v>
      </c>
      <c r="C316" s="1" t="s">
        <v>452</v>
      </c>
      <c r="I316" s="1" t="n">
        <v>202100</v>
      </c>
      <c r="J316" s="1" t="n">
        <v>1911732.38</v>
      </c>
    </row>
    <row r="317" customFormat="false" ht="14.25" hidden="false" customHeight="false" outlineLevel="0" collapsed="false">
      <c r="A317" s="1" t="n">
        <v>40</v>
      </c>
      <c r="C317" s="1" t="s">
        <v>453</v>
      </c>
      <c r="I317" s="1" t="n">
        <v>202100</v>
      </c>
      <c r="J317" s="1" t="n">
        <v>319512.05</v>
      </c>
    </row>
    <row r="318" customFormat="false" ht="14.25" hidden="false" customHeight="false" outlineLevel="0" collapsed="false">
      <c r="A318" s="1" t="n">
        <v>40</v>
      </c>
      <c r="C318" s="1" t="s">
        <v>454</v>
      </c>
      <c r="I318" s="1" t="n">
        <v>202100</v>
      </c>
      <c r="J318" s="1" t="n">
        <v>866455.57</v>
      </c>
    </row>
    <row r="319" customFormat="false" ht="14.25" hidden="false" customHeight="false" outlineLevel="0" collapsed="false">
      <c r="A319" s="1" t="n">
        <v>40</v>
      </c>
      <c r="C319" s="1" t="s">
        <v>455</v>
      </c>
      <c r="I319" s="1" t="n">
        <v>202100</v>
      </c>
      <c r="J319" s="1" t="n">
        <v>234713.92</v>
      </c>
    </row>
    <row r="320" customFormat="false" ht="14.25" hidden="false" customHeight="false" outlineLevel="0" collapsed="false">
      <c r="A320" s="1" t="n">
        <v>40</v>
      </c>
      <c r="C320" s="1" t="s">
        <v>456</v>
      </c>
      <c r="I320" s="1" t="n">
        <v>202100</v>
      </c>
      <c r="J320" s="1" t="n">
        <v>3991844.37</v>
      </c>
    </row>
    <row r="321" customFormat="false" ht="14.25" hidden="false" customHeight="false" outlineLevel="0" collapsed="false">
      <c r="A321" s="1" t="n">
        <v>40</v>
      </c>
      <c r="C321" s="1" t="s">
        <v>457</v>
      </c>
      <c r="I321" s="1" t="n">
        <v>202100</v>
      </c>
      <c r="J321" s="1" t="n">
        <v>75370.3</v>
      </c>
    </row>
    <row r="322" customFormat="false" ht="14.25" hidden="false" customHeight="false" outlineLevel="0" collapsed="false">
      <c r="A322" s="1" t="n">
        <v>40</v>
      </c>
      <c r="C322" s="1" t="s">
        <v>458</v>
      </c>
      <c r="I322" s="1" t="n">
        <v>202100</v>
      </c>
      <c r="J322" s="1" t="n">
        <v>2522563.68</v>
      </c>
    </row>
    <row r="323" customFormat="false" ht="14.25" hidden="false" customHeight="false" outlineLevel="0" collapsed="false">
      <c r="A323" s="1" t="n">
        <v>40</v>
      </c>
      <c r="C323" s="1" t="s">
        <v>459</v>
      </c>
      <c r="I323" s="1" t="n">
        <v>202100</v>
      </c>
      <c r="J323" s="1" t="n">
        <v>1611673.61</v>
      </c>
    </row>
    <row r="324" customFormat="false" ht="14.25" hidden="false" customHeight="false" outlineLevel="0" collapsed="false">
      <c r="A324" s="1" t="n">
        <v>40</v>
      </c>
      <c r="C324" s="1" t="s">
        <v>460</v>
      </c>
      <c r="I324" s="1" t="n">
        <v>202100</v>
      </c>
      <c r="J324" s="1" t="n">
        <v>3399396.71</v>
      </c>
    </row>
    <row r="325" customFormat="false" ht="14.25" hidden="false" customHeight="false" outlineLevel="0" collapsed="false">
      <c r="A325" s="1" t="n">
        <v>40</v>
      </c>
      <c r="C325" s="1" t="s">
        <v>461</v>
      </c>
      <c r="I325" s="1" t="n">
        <v>202100</v>
      </c>
      <c r="J325" s="1" t="n">
        <v>2313078.92</v>
      </c>
    </row>
    <row r="326" customFormat="false" ht="14.25" hidden="false" customHeight="false" outlineLevel="0" collapsed="false">
      <c r="A326" s="1" t="n">
        <v>40</v>
      </c>
      <c r="C326" s="1" t="s">
        <v>462</v>
      </c>
      <c r="I326" s="1" t="n">
        <v>202100</v>
      </c>
      <c r="J326" s="1" t="n">
        <v>1167342.07</v>
      </c>
    </row>
    <row r="327" customFormat="false" ht="14.25" hidden="false" customHeight="false" outlineLevel="0" collapsed="false">
      <c r="A327" s="1" t="n">
        <v>40</v>
      </c>
      <c r="C327" s="1" t="s">
        <v>463</v>
      </c>
      <c r="I327" s="1" t="n">
        <v>202100</v>
      </c>
      <c r="J327" s="1" t="n">
        <v>1450729.46</v>
      </c>
    </row>
    <row r="328" customFormat="false" ht="14.25" hidden="false" customHeight="false" outlineLevel="0" collapsed="false">
      <c r="A328" s="1" t="n">
        <v>40</v>
      </c>
      <c r="C328" s="1" t="s">
        <v>464</v>
      </c>
      <c r="I328" s="1" t="n">
        <v>202100</v>
      </c>
      <c r="J328" s="1" t="n">
        <v>3519239.34</v>
      </c>
    </row>
    <row r="329" customFormat="false" ht="14.25" hidden="false" customHeight="false" outlineLevel="0" collapsed="false">
      <c r="A329" s="1" t="n">
        <v>40</v>
      </c>
      <c r="C329" s="1" t="s">
        <v>467</v>
      </c>
      <c r="I329" s="1" t="n">
        <v>202100</v>
      </c>
      <c r="J329" s="1" t="n">
        <v>93357.5</v>
      </c>
    </row>
    <row r="330" customFormat="false" ht="14.25" hidden="false" customHeight="false" outlineLevel="0" collapsed="false">
      <c r="A330" s="1" t="n">
        <v>40</v>
      </c>
      <c r="C330" s="1" t="s">
        <v>468</v>
      </c>
      <c r="I330" s="1" t="n">
        <v>202100</v>
      </c>
      <c r="J330" s="1" t="n">
        <v>2280792.5</v>
      </c>
    </row>
    <row r="331" customFormat="false" ht="14.25" hidden="false" customHeight="false" outlineLevel="0" collapsed="false">
      <c r="A331" s="1" t="n">
        <v>40</v>
      </c>
      <c r="C331" s="1" t="s">
        <v>469</v>
      </c>
      <c r="I331" s="1" t="n">
        <v>202100</v>
      </c>
      <c r="J331" s="1" t="n">
        <v>16837.5</v>
      </c>
    </row>
    <row r="332" customFormat="false" ht="14.25" hidden="false" customHeight="false" outlineLevel="0" collapsed="false">
      <c r="A332" s="1" t="n">
        <v>40</v>
      </c>
      <c r="C332" s="1" t="s">
        <v>470</v>
      </c>
      <c r="I332" s="1" t="n">
        <v>202100</v>
      </c>
      <c r="J332" s="1" t="n">
        <v>718712.5</v>
      </c>
    </row>
    <row r="333" customFormat="false" ht="14.25" hidden="false" customHeight="false" outlineLevel="0" collapsed="false">
      <c r="A333" s="1" t="n">
        <v>40</v>
      </c>
      <c r="C333" s="1" t="s">
        <v>471</v>
      </c>
      <c r="I333" s="1" t="n">
        <v>202100</v>
      </c>
      <c r="J333" s="1" t="n">
        <v>201917.5</v>
      </c>
    </row>
    <row r="334" customFormat="false" ht="14.25" hidden="false" customHeight="false" outlineLevel="0" collapsed="false">
      <c r="A334" s="1" t="n">
        <v>40</v>
      </c>
      <c r="C334" s="1" t="s">
        <v>472</v>
      </c>
      <c r="I334" s="1" t="n">
        <v>202100</v>
      </c>
      <c r="J334" s="1" t="n">
        <v>4761832.5</v>
      </c>
    </row>
    <row r="335" customFormat="false" ht="14.25" hidden="false" customHeight="false" outlineLevel="0" collapsed="false">
      <c r="A335" s="1" t="n">
        <v>40</v>
      </c>
      <c r="C335" s="1" t="s">
        <v>473</v>
      </c>
      <c r="I335" s="1" t="n">
        <v>202100</v>
      </c>
      <c r="J335" s="1" t="n">
        <v>48917.5</v>
      </c>
    </row>
    <row r="336" customFormat="false" ht="14.25" hidden="false" customHeight="false" outlineLevel="0" collapsed="false">
      <c r="A336" s="1" t="n">
        <v>40</v>
      </c>
      <c r="C336" s="1" t="s">
        <v>474</v>
      </c>
      <c r="I336" s="1" t="n">
        <v>202100</v>
      </c>
      <c r="J336" s="1" t="n">
        <v>1272432.5</v>
      </c>
    </row>
    <row r="337" customFormat="false" ht="14.25" hidden="false" customHeight="false" outlineLevel="0" collapsed="false">
      <c r="A337" s="1" t="n">
        <v>40</v>
      </c>
      <c r="C337" s="1" t="s">
        <v>475</v>
      </c>
      <c r="I337" s="1" t="n">
        <v>202100</v>
      </c>
      <c r="J337" s="1" t="n">
        <v>514307.42</v>
      </c>
    </row>
    <row r="338" customFormat="false" ht="14.25" hidden="false" customHeight="false" outlineLevel="0" collapsed="false">
      <c r="A338" s="1" t="n">
        <v>40</v>
      </c>
      <c r="C338" s="1" t="s">
        <v>476</v>
      </c>
      <c r="I338" s="1" t="n">
        <v>202100</v>
      </c>
      <c r="J338" s="1" t="n">
        <v>1200050.66</v>
      </c>
    </row>
    <row r="339" customFormat="false" ht="14.25" hidden="false" customHeight="false" outlineLevel="0" collapsed="false">
      <c r="A339" s="1" t="n">
        <v>40</v>
      </c>
      <c r="C339" s="1" t="s">
        <v>477</v>
      </c>
      <c r="I339" s="1" t="n">
        <v>202100</v>
      </c>
      <c r="J339" s="1" t="n">
        <v>930436.49</v>
      </c>
    </row>
    <row r="340" customFormat="false" ht="14.25" hidden="false" customHeight="false" outlineLevel="0" collapsed="false">
      <c r="A340" s="1" t="n">
        <v>40</v>
      </c>
      <c r="C340" s="1" t="s">
        <v>478</v>
      </c>
      <c r="I340" s="1" t="n">
        <v>202100</v>
      </c>
      <c r="J340" s="1" t="n">
        <v>965395.44</v>
      </c>
    </row>
    <row r="341" customFormat="false" ht="14.25" hidden="false" customHeight="false" outlineLevel="0" collapsed="false">
      <c r="A341" s="1" t="n">
        <v>40</v>
      </c>
      <c r="C341" s="1" t="s">
        <v>479</v>
      </c>
      <c r="I341" s="1" t="n">
        <v>202100</v>
      </c>
      <c r="J341" s="1" t="n">
        <v>1213075.63</v>
      </c>
    </row>
    <row r="342" customFormat="false" ht="14.25" hidden="false" customHeight="false" outlineLevel="0" collapsed="false">
      <c r="A342" s="1" t="n">
        <v>40</v>
      </c>
      <c r="C342" s="1" t="s">
        <v>480</v>
      </c>
      <c r="I342" s="1" t="n">
        <v>202100</v>
      </c>
      <c r="J342" s="1" t="n">
        <v>2830509.81</v>
      </c>
    </row>
    <row r="343" customFormat="false" ht="14.25" hidden="false" customHeight="false" outlineLevel="0" collapsed="false">
      <c r="A343" s="1" t="n">
        <v>40</v>
      </c>
      <c r="C343" s="1" t="s">
        <v>481</v>
      </c>
      <c r="I343" s="1" t="n">
        <v>202100</v>
      </c>
      <c r="J343" s="1" t="n">
        <v>122086</v>
      </c>
    </row>
    <row r="344" customFormat="false" ht="14.25" hidden="false" customHeight="false" outlineLevel="0" collapsed="false">
      <c r="A344" s="1" t="n">
        <v>40</v>
      </c>
      <c r="C344" s="1" t="s">
        <v>482</v>
      </c>
      <c r="I344" s="1" t="n">
        <v>202100</v>
      </c>
      <c r="J344" s="1" t="n">
        <v>284867.33</v>
      </c>
    </row>
    <row r="345" customFormat="false" ht="14.25" hidden="false" customHeight="false" outlineLevel="0" collapsed="false">
      <c r="A345" s="1" t="n">
        <v>40</v>
      </c>
      <c r="C345" s="1" t="s">
        <v>483</v>
      </c>
      <c r="I345" s="1" t="n">
        <v>202100</v>
      </c>
      <c r="J345" s="1" t="n">
        <v>105207.15</v>
      </c>
    </row>
    <row r="346" customFormat="false" ht="14.25" hidden="false" customHeight="false" outlineLevel="0" collapsed="false">
      <c r="A346" s="1" t="n">
        <v>40</v>
      </c>
      <c r="C346" s="1" t="s">
        <v>484</v>
      </c>
      <c r="I346" s="1" t="n">
        <v>202100</v>
      </c>
      <c r="J346" s="1" t="n">
        <v>2409274.66</v>
      </c>
    </row>
    <row r="347" customFormat="false" ht="14.25" hidden="false" customHeight="false" outlineLevel="0" collapsed="false">
      <c r="A347" s="1" t="n">
        <v>40</v>
      </c>
      <c r="C347" s="1" t="s">
        <v>486</v>
      </c>
      <c r="I347" s="1" t="n">
        <v>202100</v>
      </c>
      <c r="J347" s="1" t="n">
        <v>46690</v>
      </c>
    </row>
    <row r="348" customFormat="false" ht="14.25" hidden="false" customHeight="false" outlineLevel="0" collapsed="false">
      <c r="A348" s="1" t="n">
        <v>40</v>
      </c>
      <c r="C348" s="1" t="s">
        <v>487</v>
      </c>
      <c r="I348" s="1" t="n">
        <v>202100</v>
      </c>
      <c r="J348" s="1" t="n">
        <v>694750</v>
      </c>
    </row>
    <row r="349" customFormat="false" ht="14.25" hidden="false" customHeight="false" outlineLevel="0" collapsed="false">
      <c r="A349" s="1" t="n">
        <v>40</v>
      </c>
      <c r="C349" s="1" t="s">
        <v>488</v>
      </c>
      <c r="I349" s="1" t="n">
        <v>202100</v>
      </c>
      <c r="J349" s="1" t="n">
        <v>123880</v>
      </c>
    </row>
    <row r="350" customFormat="false" ht="14.25" hidden="false" customHeight="false" outlineLevel="0" collapsed="false">
      <c r="A350" s="1" t="n">
        <v>40</v>
      </c>
      <c r="C350" s="1" t="s">
        <v>489</v>
      </c>
      <c r="I350" s="1" t="n">
        <v>202100</v>
      </c>
      <c r="J350" s="1" t="n">
        <v>3496880</v>
      </c>
    </row>
    <row r="351" customFormat="false" ht="14.25" hidden="false" customHeight="false" outlineLevel="0" collapsed="false">
      <c r="A351" s="1" t="n">
        <v>40</v>
      </c>
      <c r="C351" s="1" t="s">
        <v>490</v>
      </c>
      <c r="I351" s="1" t="n">
        <v>202100</v>
      </c>
      <c r="J351" s="1" t="n">
        <v>147240</v>
      </c>
    </row>
    <row r="352" customFormat="false" ht="14.25" hidden="false" customHeight="false" outlineLevel="0" collapsed="false">
      <c r="A352" s="1" t="n">
        <v>40</v>
      </c>
      <c r="C352" s="1" t="s">
        <v>491</v>
      </c>
      <c r="I352" s="1" t="n">
        <v>202100</v>
      </c>
      <c r="J352" s="1" t="n">
        <v>2948320</v>
      </c>
    </row>
    <row r="353" customFormat="false" ht="14.25" hidden="false" customHeight="false" outlineLevel="0" collapsed="false">
      <c r="A353" s="1" t="n">
        <v>40</v>
      </c>
      <c r="C353" s="1" t="s">
        <v>492</v>
      </c>
      <c r="I353" s="1" t="n">
        <v>202100</v>
      </c>
      <c r="J353" s="1" t="n">
        <v>151173.69</v>
      </c>
    </row>
    <row r="354" customFormat="false" ht="14.25" hidden="false" customHeight="false" outlineLevel="0" collapsed="false">
      <c r="A354" s="1" t="n">
        <v>40</v>
      </c>
      <c r="C354" s="1" t="s">
        <v>493</v>
      </c>
      <c r="I354" s="1" t="n">
        <v>202100</v>
      </c>
      <c r="J354" s="1" t="n">
        <v>3953632.88</v>
      </c>
    </row>
    <row r="355" customFormat="false" ht="14.25" hidden="false" customHeight="false" outlineLevel="0" collapsed="false">
      <c r="A355" s="1" t="n">
        <v>40</v>
      </c>
      <c r="C355" s="1" t="s">
        <v>494</v>
      </c>
      <c r="I355" s="1" t="n">
        <v>202100</v>
      </c>
      <c r="J355" s="1" t="n">
        <v>1251341.86</v>
      </c>
    </row>
    <row r="356" customFormat="false" ht="14.25" hidden="false" customHeight="false" outlineLevel="0" collapsed="false">
      <c r="A356" s="1" t="n">
        <v>40</v>
      </c>
      <c r="C356" s="1" t="s">
        <v>495</v>
      </c>
      <c r="I356" s="1" t="n">
        <v>202100</v>
      </c>
      <c r="J356" s="1" t="n">
        <v>6824034.66</v>
      </c>
    </row>
    <row r="357" customFormat="false" ht="14.25" hidden="false" customHeight="false" outlineLevel="0" collapsed="false">
      <c r="A357" s="1" t="n">
        <v>40</v>
      </c>
      <c r="C357" s="1" t="s">
        <v>496</v>
      </c>
      <c r="I357" s="1" t="n">
        <v>202100</v>
      </c>
      <c r="J357" s="1" t="n">
        <v>99201.77</v>
      </c>
    </row>
    <row r="358" customFormat="false" ht="14.25" hidden="false" customHeight="false" outlineLevel="0" collapsed="false">
      <c r="A358" s="1" t="n">
        <v>40</v>
      </c>
      <c r="C358" s="1" t="s">
        <v>497</v>
      </c>
      <c r="I358" s="1" t="n">
        <v>202100</v>
      </c>
      <c r="J358" s="1" t="n">
        <v>9178025.24</v>
      </c>
    </row>
    <row r="359" customFormat="false" ht="14.25" hidden="false" customHeight="false" outlineLevel="0" collapsed="false">
      <c r="A359" s="1" t="n">
        <v>40</v>
      </c>
      <c r="C359" s="1" t="s">
        <v>498</v>
      </c>
      <c r="I359" s="1" t="n">
        <v>202100</v>
      </c>
      <c r="J359" s="1" t="n">
        <v>52398.39</v>
      </c>
    </row>
    <row r="360" customFormat="false" ht="14.25" hidden="false" customHeight="false" outlineLevel="0" collapsed="false">
      <c r="A360" s="1" t="n">
        <v>40</v>
      </c>
      <c r="C360" s="1" t="s">
        <v>499</v>
      </c>
      <c r="I360" s="1" t="n">
        <v>202100</v>
      </c>
      <c r="J360" s="1" t="n">
        <v>1100786.34</v>
      </c>
    </row>
    <row r="361" customFormat="false" ht="14.25" hidden="false" customHeight="false" outlineLevel="0" collapsed="false">
      <c r="A361" s="1" t="n">
        <v>40</v>
      </c>
      <c r="C361" s="1" t="s">
        <v>500</v>
      </c>
      <c r="I361" s="1" t="n">
        <v>202100</v>
      </c>
      <c r="J361" s="1" t="n">
        <v>521250</v>
      </c>
    </row>
    <row r="362" customFormat="false" ht="14.25" hidden="false" customHeight="false" outlineLevel="0" collapsed="false">
      <c r="A362" s="1" t="n">
        <v>40</v>
      </c>
      <c r="C362" s="1" t="s">
        <v>501</v>
      </c>
      <c r="I362" s="1" t="n">
        <v>202100</v>
      </c>
      <c r="J362" s="1" t="n">
        <v>1775750</v>
      </c>
    </row>
    <row r="363" customFormat="false" ht="14.25" hidden="false" customHeight="false" outlineLevel="0" collapsed="false">
      <c r="A363" s="1" t="n">
        <v>40</v>
      </c>
      <c r="C363" s="1" t="s">
        <v>502</v>
      </c>
      <c r="I363" s="1" t="n">
        <v>202100</v>
      </c>
      <c r="J363" s="1" t="n">
        <v>549000</v>
      </c>
    </row>
    <row r="364" customFormat="false" ht="14.25" hidden="false" customHeight="false" outlineLevel="0" collapsed="false">
      <c r="A364" s="1" t="n">
        <v>40</v>
      </c>
      <c r="C364" s="1" t="s">
        <v>503</v>
      </c>
      <c r="I364" s="1" t="n">
        <v>202100</v>
      </c>
      <c r="J364" s="1" t="n">
        <v>707000</v>
      </c>
    </row>
    <row r="365" customFormat="false" ht="14.25" hidden="false" customHeight="false" outlineLevel="0" collapsed="false">
      <c r="A365" s="1" t="n">
        <v>40</v>
      </c>
      <c r="C365" s="1" t="s">
        <v>504</v>
      </c>
      <c r="I365" s="1" t="n">
        <v>202100</v>
      </c>
      <c r="J365" s="1" t="n">
        <v>433750</v>
      </c>
    </row>
    <row r="366" customFormat="false" ht="14.25" hidden="false" customHeight="false" outlineLevel="0" collapsed="false">
      <c r="A366" s="1" t="n">
        <v>40</v>
      </c>
      <c r="C366" s="1" t="s">
        <v>505</v>
      </c>
      <c r="I366" s="1" t="n">
        <v>202100</v>
      </c>
      <c r="J366" s="1" t="n">
        <v>3653250</v>
      </c>
    </row>
    <row r="367" customFormat="false" ht="14.25" hidden="false" customHeight="false" outlineLevel="0" collapsed="false">
      <c r="A367" s="1" t="n">
        <v>40</v>
      </c>
      <c r="C367" s="1" t="s">
        <v>506</v>
      </c>
      <c r="I367" s="1" t="n">
        <v>202100</v>
      </c>
      <c r="J367" s="1" t="n">
        <v>426250</v>
      </c>
    </row>
    <row r="368" customFormat="false" ht="14.25" hidden="false" customHeight="false" outlineLevel="0" collapsed="false">
      <c r="A368" s="1" t="n">
        <v>40</v>
      </c>
      <c r="C368" s="1" t="s">
        <v>507</v>
      </c>
      <c r="I368" s="1" t="n">
        <v>202100</v>
      </c>
      <c r="J368" s="1" t="n">
        <v>1769250</v>
      </c>
    </row>
    <row r="369" customFormat="false" ht="14.25" hidden="false" customHeight="false" outlineLevel="0" collapsed="false">
      <c r="A369" s="1" t="n">
        <v>40</v>
      </c>
      <c r="C369" s="1" t="s">
        <v>508</v>
      </c>
      <c r="I369" s="1" t="n">
        <v>202100</v>
      </c>
      <c r="J369" s="1" t="n">
        <v>196700</v>
      </c>
    </row>
    <row r="370" customFormat="false" ht="14.25" hidden="false" customHeight="false" outlineLevel="0" collapsed="false">
      <c r="A370" s="1" t="n">
        <v>40</v>
      </c>
      <c r="C370" s="1" t="s">
        <v>509</v>
      </c>
      <c r="I370" s="1" t="n">
        <v>202100</v>
      </c>
      <c r="J370" s="1" t="n">
        <v>2146448.05</v>
      </c>
    </row>
    <row r="371" customFormat="false" ht="14.25" hidden="false" customHeight="false" outlineLevel="0" collapsed="false">
      <c r="A371" s="1" t="n">
        <v>40</v>
      </c>
      <c r="C371" s="1" t="s">
        <v>510</v>
      </c>
      <c r="I371" s="1" t="n">
        <v>202100</v>
      </c>
      <c r="J371" s="1" t="n">
        <v>533600</v>
      </c>
    </row>
    <row r="372" customFormat="false" ht="14.25" hidden="false" customHeight="false" outlineLevel="0" collapsed="false">
      <c r="A372" s="1" t="n">
        <v>40</v>
      </c>
      <c r="C372" s="1" t="s">
        <v>511</v>
      </c>
      <c r="I372" s="1" t="n">
        <v>202100</v>
      </c>
      <c r="J372" s="1" t="n">
        <v>150100</v>
      </c>
    </row>
    <row r="373" customFormat="false" ht="14.25" hidden="false" customHeight="false" outlineLevel="0" collapsed="false">
      <c r="A373" s="1" t="n">
        <v>40</v>
      </c>
      <c r="C373" s="1" t="s">
        <v>512</v>
      </c>
      <c r="I373" s="1" t="n">
        <v>202100</v>
      </c>
      <c r="J373" s="1" t="n">
        <v>7180420</v>
      </c>
    </row>
    <row r="374" customFormat="false" ht="14.25" hidden="false" customHeight="false" outlineLevel="0" collapsed="false">
      <c r="A374" s="1" t="n">
        <v>40</v>
      </c>
      <c r="C374" s="1" t="s">
        <v>513</v>
      </c>
      <c r="I374" s="1" t="n">
        <v>202100</v>
      </c>
      <c r="J374" s="1" t="n">
        <v>13515.45</v>
      </c>
    </row>
    <row r="375" customFormat="false" ht="14.25" hidden="false" customHeight="false" outlineLevel="0" collapsed="false">
      <c r="A375" s="1" t="n">
        <v>40</v>
      </c>
      <c r="C375" s="1" t="s">
        <v>514</v>
      </c>
      <c r="I375" s="1" t="n">
        <v>202100</v>
      </c>
      <c r="J375" s="1" t="n">
        <v>904659.6</v>
      </c>
    </row>
    <row r="376" customFormat="false" ht="14.25" hidden="false" customHeight="false" outlineLevel="0" collapsed="false">
      <c r="A376" s="1" t="n">
        <v>40</v>
      </c>
      <c r="C376" s="1" t="s">
        <v>515</v>
      </c>
      <c r="I376" s="1" t="n">
        <v>202100</v>
      </c>
      <c r="J376" s="1" t="n">
        <v>312000</v>
      </c>
    </row>
    <row r="377" customFormat="false" ht="14.25" hidden="false" customHeight="false" outlineLevel="0" collapsed="false">
      <c r="A377" s="1" t="n">
        <v>40</v>
      </c>
      <c r="C377" s="1" t="s">
        <v>516</v>
      </c>
      <c r="I377" s="1" t="n">
        <v>202100</v>
      </c>
      <c r="J377" s="1" t="n">
        <v>2276900</v>
      </c>
    </row>
    <row r="378" customFormat="false" ht="14.25" hidden="false" customHeight="false" outlineLevel="0" collapsed="false">
      <c r="A378" s="1" t="n">
        <v>40</v>
      </c>
      <c r="C378" s="1" t="s">
        <v>517</v>
      </c>
      <c r="I378" s="1" t="n">
        <v>202100</v>
      </c>
      <c r="J378" s="1" t="n">
        <v>565500</v>
      </c>
    </row>
    <row r="379" customFormat="false" ht="14.25" hidden="false" customHeight="false" outlineLevel="0" collapsed="false">
      <c r="A379" s="1" t="n">
        <v>40</v>
      </c>
      <c r="C379" s="1" t="s">
        <v>518</v>
      </c>
      <c r="I379" s="1" t="n">
        <v>202100</v>
      </c>
      <c r="J379" s="1" t="n">
        <v>1064300</v>
      </c>
    </row>
    <row r="380" customFormat="false" ht="14.25" hidden="false" customHeight="false" outlineLevel="0" collapsed="false">
      <c r="A380" s="1" t="n">
        <v>40</v>
      </c>
      <c r="C380" s="1" t="s">
        <v>519</v>
      </c>
      <c r="I380" s="1" t="n">
        <v>202100</v>
      </c>
      <c r="J380" s="1" t="n">
        <v>1109600</v>
      </c>
    </row>
    <row r="381" customFormat="false" ht="14.25" hidden="false" customHeight="false" outlineLevel="0" collapsed="false">
      <c r="A381" s="1" t="n">
        <v>40</v>
      </c>
      <c r="C381" s="1" t="s">
        <v>520</v>
      </c>
      <c r="I381" s="1" t="n">
        <v>202100</v>
      </c>
      <c r="J381" s="1" t="n">
        <v>7901000</v>
      </c>
    </row>
    <row r="382" customFormat="false" ht="14.25" hidden="false" customHeight="false" outlineLevel="0" collapsed="false">
      <c r="A382" s="1" t="n">
        <v>40</v>
      </c>
      <c r="C382" s="1" t="s">
        <v>521</v>
      </c>
      <c r="I382" s="1" t="n">
        <v>202100</v>
      </c>
      <c r="J382" s="1" t="n">
        <v>311200</v>
      </c>
    </row>
    <row r="383" customFormat="false" ht="14.25" hidden="false" customHeight="false" outlineLevel="0" collapsed="false">
      <c r="A383" s="1" t="n">
        <v>40</v>
      </c>
      <c r="C383" s="1" t="s">
        <v>522</v>
      </c>
      <c r="I383" s="1" t="n">
        <v>202100</v>
      </c>
      <c r="J383" s="1" t="n">
        <v>1725100</v>
      </c>
    </row>
    <row r="384" customFormat="false" ht="14.25" hidden="false" customHeight="false" outlineLevel="0" collapsed="false">
      <c r="A384" s="1" t="n">
        <v>40</v>
      </c>
      <c r="C384" s="1" t="s">
        <v>523</v>
      </c>
      <c r="I384" s="1" t="n">
        <v>202100</v>
      </c>
      <c r="J384" s="1" t="n">
        <v>270957.9</v>
      </c>
    </row>
    <row r="385" customFormat="false" ht="14.25" hidden="false" customHeight="false" outlineLevel="0" collapsed="false">
      <c r="A385" s="1" t="n">
        <v>40</v>
      </c>
      <c r="C385" s="1" t="s">
        <v>524</v>
      </c>
      <c r="I385" s="1" t="n">
        <v>202100</v>
      </c>
      <c r="J385" s="1" t="n">
        <v>1813333.63</v>
      </c>
    </row>
    <row r="386" customFormat="false" ht="14.25" hidden="false" customHeight="false" outlineLevel="0" collapsed="false">
      <c r="A386" s="1" t="n">
        <v>40</v>
      </c>
      <c r="C386" s="1" t="s">
        <v>525</v>
      </c>
      <c r="I386" s="1" t="n">
        <v>202100</v>
      </c>
      <c r="J386" s="1" t="n">
        <v>102581.59</v>
      </c>
    </row>
    <row r="387" customFormat="false" ht="14.25" hidden="false" customHeight="false" outlineLevel="0" collapsed="false">
      <c r="A387" s="1" t="n">
        <v>40</v>
      </c>
      <c r="C387" s="1" t="s">
        <v>526</v>
      </c>
      <c r="I387" s="1" t="n">
        <v>202100</v>
      </c>
      <c r="J387" s="1" t="n">
        <v>686507.55</v>
      </c>
    </row>
    <row r="388" customFormat="false" ht="14.25" hidden="false" customHeight="false" outlineLevel="0" collapsed="false">
      <c r="A388" s="1" t="n">
        <v>40</v>
      </c>
      <c r="C388" s="1" t="s">
        <v>527</v>
      </c>
      <c r="I388" s="1" t="n">
        <v>202100</v>
      </c>
      <c r="J388" s="1" t="n">
        <v>664172.73</v>
      </c>
    </row>
    <row r="389" customFormat="false" ht="14.25" hidden="false" customHeight="false" outlineLevel="0" collapsed="false">
      <c r="A389" s="1" t="n">
        <v>40</v>
      </c>
      <c r="C389" s="1" t="s">
        <v>528</v>
      </c>
      <c r="I389" s="1" t="n">
        <v>202100</v>
      </c>
      <c r="J389" s="1" t="n">
        <v>4444848.25</v>
      </c>
    </row>
    <row r="390" customFormat="false" ht="14.25" hidden="false" customHeight="false" outlineLevel="0" collapsed="false">
      <c r="A390" s="1" t="n">
        <v>40</v>
      </c>
      <c r="C390" s="1" t="s">
        <v>529</v>
      </c>
      <c r="I390" s="1" t="n">
        <v>202100</v>
      </c>
      <c r="J390" s="1" t="n">
        <v>8363.97</v>
      </c>
    </row>
    <row r="391" customFormat="false" ht="14.25" hidden="false" customHeight="false" outlineLevel="0" collapsed="false">
      <c r="A391" s="1" t="n">
        <v>40</v>
      </c>
      <c r="C391" s="1" t="s">
        <v>530</v>
      </c>
      <c r="I391" s="1" t="n">
        <v>202100</v>
      </c>
      <c r="J391" s="1" t="n">
        <v>55974.24</v>
      </c>
    </row>
    <row r="392" customFormat="false" ht="14.25" hidden="false" customHeight="false" outlineLevel="0" collapsed="false">
      <c r="A392" s="1" t="n">
        <v>40</v>
      </c>
      <c r="C392" s="1" t="s">
        <v>531</v>
      </c>
      <c r="I392" s="1" t="n">
        <v>202100</v>
      </c>
      <c r="J392" s="1" t="n">
        <v>758910.85</v>
      </c>
    </row>
    <row r="393" customFormat="false" ht="14.25" hidden="false" customHeight="false" outlineLevel="0" collapsed="false">
      <c r="A393" s="1" t="n">
        <v>40</v>
      </c>
      <c r="C393" s="1" t="s">
        <v>532</v>
      </c>
      <c r="I393" s="1" t="n">
        <v>202100</v>
      </c>
      <c r="J393" s="1" t="n">
        <v>899450.14</v>
      </c>
    </row>
    <row r="394" customFormat="false" ht="14.25" hidden="false" customHeight="false" outlineLevel="0" collapsed="false">
      <c r="A394" s="1" t="n">
        <v>40</v>
      </c>
      <c r="C394" s="1" t="s">
        <v>533</v>
      </c>
      <c r="I394" s="1" t="n">
        <v>202100</v>
      </c>
      <c r="J394" s="1" t="n">
        <v>645484.15</v>
      </c>
    </row>
    <row r="395" customFormat="false" ht="14.25" hidden="false" customHeight="false" outlineLevel="0" collapsed="false">
      <c r="A395" s="1" t="n">
        <v>40</v>
      </c>
      <c r="C395" s="1" t="s">
        <v>534</v>
      </c>
      <c r="I395" s="1" t="n">
        <v>202100</v>
      </c>
      <c r="J395" s="1" t="n">
        <v>1211070.38</v>
      </c>
    </row>
    <row r="396" customFormat="false" ht="14.25" hidden="false" customHeight="false" outlineLevel="0" collapsed="false">
      <c r="A396" s="1" t="n">
        <v>40</v>
      </c>
      <c r="C396" s="1" t="s">
        <v>535</v>
      </c>
      <c r="I396" s="1" t="n">
        <v>202100</v>
      </c>
      <c r="J396" s="1" t="n">
        <v>265610.11</v>
      </c>
    </row>
    <row r="397" customFormat="false" ht="14.25" hidden="false" customHeight="false" outlineLevel="0" collapsed="false">
      <c r="A397" s="1" t="n">
        <v>40</v>
      </c>
      <c r="C397" s="1" t="s">
        <v>536</v>
      </c>
      <c r="I397" s="1" t="n">
        <v>202100</v>
      </c>
      <c r="J397" s="1" t="n">
        <v>266960.85</v>
      </c>
    </row>
    <row r="398" customFormat="false" ht="14.25" hidden="false" customHeight="false" outlineLevel="0" collapsed="false">
      <c r="A398" s="1" t="n">
        <v>40</v>
      </c>
      <c r="C398" s="1" t="s">
        <v>537</v>
      </c>
      <c r="I398" s="1" t="n">
        <v>202100</v>
      </c>
      <c r="J398" s="1" t="n">
        <v>300665.86</v>
      </c>
    </row>
    <row r="399" customFormat="false" ht="14.25" hidden="false" customHeight="false" outlineLevel="0" collapsed="false">
      <c r="A399" s="1" t="n">
        <v>40</v>
      </c>
      <c r="C399" s="1" t="s">
        <v>538</v>
      </c>
      <c r="I399" s="1" t="n">
        <v>202100</v>
      </c>
      <c r="J399" s="1" t="n">
        <v>291230.21</v>
      </c>
    </row>
    <row r="400" customFormat="false" ht="14.25" hidden="false" customHeight="false" outlineLevel="0" collapsed="false">
      <c r="A400" s="1" t="n">
        <v>40</v>
      </c>
      <c r="C400" s="1" t="s">
        <v>539</v>
      </c>
      <c r="I400" s="1" t="n">
        <v>202100</v>
      </c>
      <c r="J400" s="1" t="n">
        <v>238971.82</v>
      </c>
    </row>
    <row r="401" customFormat="false" ht="14.25" hidden="false" customHeight="false" outlineLevel="0" collapsed="false">
      <c r="A401" s="1" t="n">
        <v>40</v>
      </c>
      <c r="C401" s="1" t="s">
        <v>540</v>
      </c>
      <c r="I401" s="1" t="n">
        <v>202100</v>
      </c>
      <c r="J401" s="1" t="n">
        <v>337287.03</v>
      </c>
    </row>
    <row r="402" customFormat="false" ht="14.25" hidden="false" customHeight="false" outlineLevel="0" collapsed="false">
      <c r="A402" s="1" t="n">
        <v>40</v>
      </c>
      <c r="C402" s="1" t="s">
        <v>541</v>
      </c>
      <c r="I402" s="1" t="n">
        <v>202100</v>
      </c>
      <c r="J402" s="1" t="n">
        <v>415680.22</v>
      </c>
    </row>
    <row r="403" customFormat="false" ht="14.25" hidden="false" customHeight="false" outlineLevel="0" collapsed="false">
      <c r="A403" s="1" t="n">
        <v>40</v>
      </c>
      <c r="C403" s="1" t="s">
        <v>542</v>
      </c>
      <c r="I403" s="1" t="n">
        <v>202100</v>
      </c>
      <c r="J403" s="1" t="n">
        <v>453932.46</v>
      </c>
    </row>
    <row r="404" customFormat="false" ht="14.25" hidden="false" customHeight="false" outlineLevel="0" collapsed="false">
      <c r="A404" s="1" t="n">
        <v>40</v>
      </c>
      <c r="C404" s="1" t="s">
        <v>543</v>
      </c>
      <c r="I404" s="1" t="n">
        <v>202100</v>
      </c>
      <c r="J404" s="1" t="n">
        <v>2751910.59</v>
      </c>
    </row>
    <row r="405" customFormat="false" ht="14.25" hidden="false" customHeight="false" outlineLevel="0" collapsed="false">
      <c r="A405" s="1" t="n">
        <v>40</v>
      </c>
      <c r="C405" s="1" t="s">
        <v>544</v>
      </c>
      <c r="I405" s="1" t="n">
        <v>202100</v>
      </c>
      <c r="J405" s="1" t="n">
        <v>825573.18</v>
      </c>
    </row>
    <row r="406" customFormat="false" ht="14.25" hidden="false" customHeight="false" outlineLevel="0" collapsed="false">
      <c r="A406" s="1" t="n">
        <v>40</v>
      </c>
      <c r="C406" s="1" t="s">
        <v>545</v>
      </c>
      <c r="I406" s="1" t="n">
        <v>202100</v>
      </c>
      <c r="J406" s="1" t="n">
        <v>1779738.99</v>
      </c>
    </row>
    <row r="407" customFormat="false" ht="14.25" hidden="false" customHeight="false" outlineLevel="0" collapsed="false">
      <c r="A407" s="1" t="n">
        <v>40</v>
      </c>
      <c r="C407" s="1" t="s">
        <v>546</v>
      </c>
      <c r="I407" s="1" t="n">
        <v>202100</v>
      </c>
      <c r="J407" s="1" t="n">
        <v>533921.7</v>
      </c>
    </row>
    <row r="408" customFormat="false" ht="14.25" hidden="false" customHeight="false" outlineLevel="0" collapsed="false">
      <c r="A408" s="1" t="n">
        <v>40</v>
      </c>
      <c r="C408" s="1" t="s">
        <v>547</v>
      </c>
      <c r="I408" s="1" t="n">
        <v>202100</v>
      </c>
      <c r="J408" s="1" t="n">
        <v>1941534.72</v>
      </c>
    </row>
    <row r="409" customFormat="false" ht="14.25" hidden="false" customHeight="false" outlineLevel="0" collapsed="false">
      <c r="A409" s="1" t="n">
        <v>40</v>
      </c>
      <c r="C409" s="1" t="s">
        <v>548</v>
      </c>
      <c r="I409" s="1" t="n">
        <v>202100</v>
      </c>
      <c r="J409" s="1" t="n">
        <v>582460.42</v>
      </c>
    </row>
    <row r="410" customFormat="false" ht="14.25" hidden="false" customHeight="false" outlineLevel="0" collapsed="false">
      <c r="A410" s="1" t="n">
        <v>40</v>
      </c>
      <c r="C410" s="1" t="s">
        <v>549</v>
      </c>
      <c r="I410" s="1" t="n">
        <v>202100</v>
      </c>
      <c r="J410" s="1" t="n">
        <v>2199429.38</v>
      </c>
    </row>
    <row r="411" customFormat="false" ht="14.25" hidden="false" customHeight="false" outlineLevel="0" collapsed="false">
      <c r="A411" s="1" t="n">
        <v>40</v>
      </c>
      <c r="C411" s="1" t="s">
        <v>550</v>
      </c>
      <c r="I411" s="1" t="n">
        <v>202100</v>
      </c>
      <c r="J411" s="1" t="n">
        <v>659828.81</v>
      </c>
    </row>
    <row r="412" customFormat="false" ht="14.25" hidden="false" customHeight="false" outlineLevel="0" collapsed="false">
      <c r="A412" s="1" t="n">
        <v>40</v>
      </c>
      <c r="C412" s="1" t="s">
        <v>551</v>
      </c>
      <c r="I412" s="1" t="n">
        <v>202100</v>
      </c>
      <c r="J412" s="1" t="n">
        <v>3026216.41</v>
      </c>
    </row>
    <row r="413" customFormat="false" ht="14.25" hidden="false" customHeight="false" outlineLevel="0" collapsed="false">
      <c r="A413" s="1" t="n">
        <v>40</v>
      </c>
      <c r="C413" s="1" t="s">
        <v>552</v>
      </c>
      <c r="I413" s="1" t="n">
        <v>202100</v>
      </c>
      <c r="J413" s="1" t="n">
        <v>907864.92</v>
      </c>
    </row>
    <row r="414" customFormat="false" ht="14.25" hidden="false" customHeight="false" outlineLevel="0" collapsed="false">
      <c r="A414" s="1" t="n">
        <v>40</v>
      </c>
      <c r="C414" s="1" t="s">
        <v>553</v>
      </c>
      <c r="I414" s="1" t="n">
        <v>202100</v>
      </c>
      <c r="J414" s="1" t="n">
        <v>1097134.93</v>
      </c>
    </row>
    <row r="415" customFormat="false" ht="14.25" hidden="false" customHeight="false" outlineLevel="0" collapsed="false">
      <c r="A415" s="1" t="n">
        <v>40</v>
      </c>
      <c r="C415" s="1" t="s">
        <v>554</v>
      </c>
      <c r="I415" s="1" t="n">
        <v>202100</v>
      </c>
      <c r="J415" s="1" t="n">
        <v>926213.42</v>
      </c>
    </row>
    <row r="416" customFormat="false" ht="14.25" hidden="false" customHeight="false" outlineLevel="0" collapsed="false">
      <c r="A416" s="1" t="n">
        <v>40</v>
      </c>
      <c r="C416" s="1" t="s">
        <v>555</v>
      </c>
      <c r="I416" s="1" t="n">
        <v>202100</v>
      </c>
      <c r="J416" s="1" t="n">
        <v>260661.13</v>
      </c>
    </row>
    <row r="417" customFormat="false" ht="14.25" hidden="false" customHeight="false" outlineLevel="0" collapsed="false">
      <c r="A417" s="1" t="n">
        <v>40</v>
      </c>
      <c r="C417" s="1" t="s">
        <v>556</v>
      </c>
      <c r="I417" s="1" t="n">
        <v>202100</v>
      </c>
      <c r="J417" s="1" t="n">
        <v>387561.94</v>
      </c>
    </row>
    <row r="418" customFormat="false" ht="14.25" hidden="false" customHeight="false" outlineLevel="0" collapsed="false">
      <c r="A418" s="1" t="n">
        <v>40</v>
      </c>
      <c r="C418" s="1" t="s">
        <v>557</v>
      </c>
      <c r="I418" s="1" t="n">
        <v>202100</v>
      </c>
      <c r="J418" s="1" t="n">
        <v>378696.98</v>
      </c>
    </row>
    <row r="419" customFormat="false" ht="14.25" hidden="false" customHeight="false" outlineLevel="0" collapsed="false">
      <c r="A419" s="1" t="n">
        <v>40</v>
      </c>
      <c r="C419" s="1" t="s">
        <v>558</v>
      </c>
      <c r="I419" s="1" t="n">
        <v>202100</v>
      </c>
      <c r="J419" s="1" t="n">
        <v>1224507.09</v>
      </c>
    </row>
    <row r="420" customFormat="false" ht="14.25" hidden="false" customHeight="false" outlineLevel="0" collapsed="false">
      <c r="A420" s="1" t="n">
        <v>40</v>
      </c>
      <c r="C420" s="1" t="s">
        <v>559</v>
      </c>
      <c r="I420" s="1" t="n">
        <v>202100</v>
      </c>
      <c r="J420" s="1" t="n">
        <v>132418.42</v>
      </c>
    </row>
    <row r="421" customFormat="false" ht="14.25" hidden="false" customHeight="false" outlineLevel="0" collapsed="false">
      <c r="A421" s="1" t="n">
        <v>40</v>
      </c>
      <c r="C421" s="1" t="s">
        <v>560</v>
      </c>
      <c r="I421" s="1" t="n">
        <v>202100</v>
      </c>
      <c r="J421" s="1" t="n">
        <v>173129.58</v>
      </c>
    </row>
    <row r="422" customFormat="false" ht="14.25" hidden="false" customHeight="false" outlineLevel="0" collapsed="false">
      <c r="A422" s="1" t="n">
        <v>40</v>
      </c>
      <c r="C422" s="1" t="s">
        <v>561</v>
      </c>
      <c r="I422" s="1" t="n">
        <v>202100</v>
      </c>
      <c r="J422" s="1" t="n">
        <v>1439400</v>
      </c>
    </row>
    <row r="423" customFormat="false" ht="14.25" hidden="false" customHeight="false" outlineLevel="0" collapsed="false">
      <c r="A423" s="1" t="n">
        <v>40</v>
      </c>
      <c r="C423" s="1" t="s">
        <v>562</v>
      </c>
      <c r="I423" s="1" t="n">
        <v>202100</v>
      </c>
      <c r="J423" s="1" t="n">
        <v>45400</v>
      </c>
    </row>
    <row r="424" customFormat="false" ht="14.25" hidden="false" customHeight="false" outlineLevel="0" collapsed="false">
      <c r="A424" s="1" t="n">
        <v>40</v>
      </c>
      <c r="C424" s="1" t="s">
        <v>563</v>
      </c>
      <c r="I424" s="1" t="n">
        <v>202100</v>
      </c>
      <c r="J424" s="1" t="n">
        <v>243900</v>
      </c>
    </row>
    <row r="425" customFormat="false" ht="14.25" hidden="false" customHeight="false" outlineLevel="0" collapsed="false">
      <c r="A425" s="1" t="n">
        <v>40</v>
      </c>
      <c r="C425" s="1" t="s">
        <v>564</v>
      </c>
      <c r="I425" s="1" t="n">
        <v>202100</v>
      </c>
      <c r="J425" s="1" t="n">
        <v>162600</v>
      </c>
    </row>
    <row r="426" customFormat="false" ht="14.25" hidden="false" customHeight="false" outlineLevel="0" collapsed="false">
      <c r="A426" s="1" t="n">
        <v>40</v>
      </c>
      <c r="C426" s="1" t="s">
        <v>565</v>
      </c>
      <c r="I426" s="1" t="n">
        <v>202100</v>
      </c>
      <c r="J426" s="1" t="n">
        <v>1319200</v>
      </c>
    </row>
    <row r="427" customFormat="false" ht="14.25" hidden="false" customHeight="false" outlineLevel="0" collapsed="false">
      <c r="A427" s="1" t="n">
        <v>40</v>
      </c>
      <c r="C427" s="1" t="s">
        <v>566</v>
      </c>
      <c r="I427" s="1" t="n">
        <v>202100</v>
      </c>
      <c r="J427" s="1" t="n">
        <v>163600</v>
      </c>
    </row>
    <row r="428" customFormat="false" ht="14.25" hidden="false" customHeight="false" outlineLevel="0" collapsed="false">
      <c r="A428" s="1" t="n">
        <v>49</v>
      </c>
      <c r="C428" s="1" t="s">
        <v>357</v>
      </c>
      <c r="I428" s="1" t="n">
        <v>202100</v>
      </c>
      <c r="J428" s="1" t="n">
        <v>10000</v>
      </c>
    </row>
    <row r="429" customFormat="false" ht="14.25" hidden="false" customHeight="false" outlineLevel="0" collapsed="false">
      <c r="A429" s="1" t="n">
        <v>49</v>
      </c>
      <c r="C429" s="1" t="s">
        <v>359</v>
      </c>
      <c r="I429" s="1" t="n">
        <v>202100</v>
      </c>
      <c r="J429" s="1" t="n">
        <v>190000</v>
      </c>
    </row>
    <row r="430" customFormat="false" ht="14.25" hidden="false" customHeight="false" outlineLevel="0" collapsed="false">
      <c r="A430" s="1" t="n">
        <v>49</v>
      </c>
      <c r="C430" s="1" t="s">
        <v>362</v>
      </c>
      <c r="I430" s="1" t="n">
        <v>202100</v>
      </c>
      <c r="J430" s="1" t="n">
        <v>1000</v>
      </c>
    </row>
    <row r="431" customFormat="false" ht="14.25" hidden="false" customHeight="false" outlineLevel="0" collapsed="false">
      <c r="A431" s="1" t="n">
        <v>49</v>
      </c>
      <c r="C431" s="1" t="s">
        <v>364</v>
      </c>
      <c r="I431" s="1" t="n">
        <v>202100</v>
      </c>
      <c r="J431" s="1" t="n">
        <v>10000</v>
      </c>
    </row>
    <row r="432" customFormat="false" ht="14.25" hidden="false" customHeight="false" outlineLevel="0" collapsed="false">
      <c r="A432" s="1" t="n">
        <v>49</v>
      </c>
      <c r="C432" s="1" t="s">
        <v>366</v>
      </c>
      <c r="I432" s="1" t="n">
        <v>202100</v>
      </c>
      <c r="J432" s="1" t="n">
        <v>5000</v>
      </c>
    </row>
    <row r="433" customFormat="false" ht="14.25" hidden="false" customHeight="false" outlineLevel="0" collapsed="false">
      <c r="A433" s="1" t="n">
        <v>49</v>
      </c>
      <c r="C433" s="1" t="s">
        <v>368</v>
      </c>
      <c r="I433" s="1" t="n">
        <v>202100</v>
      </c>
      <c r="J433" s="1" t="n">
        <v>95000</v>
      </c>
    </row>
    <row r="434" customFormat="false" ht="14.25" hidden="false" customHeight="false" outlineLevel="0" collapsed="false">
      <c r="A434" s="1" t="n">
        <v>49</v>
      </c>
      <c r="C434" s="1" t="s">
        <v>373</v>
      </c>
      <c r="I434" s="1" t="n">
        <v>202100</v>
      </c>
      <c r="J434" s="1" t="n">
        <v>3000</v>
      </c>
    </row>
    <row r="435" customFormat="false" ht="14.25" hidden="false" customHeight="false" outlineLevel="0" collapsed="false">
      <c r="A435" s="1" t="n">
        <v>49</v>
      </c>
      <c r="C435" s="1" t="s">
        <v>375</v>
      </c>
      <c r="I435" s="1" t="n">
        <v>202100</v>
      </c>
      <c r="J435" s="1" t="n">
        <v>15000</v>
      </c>
    </row>
    <row r="436" customFormat="false" ht="14.25" hidden="false" customHeight="false" outlineLevel="0" collapsed="false">
      <c r="A436" s="1" t="n">
        <v>49</v>
      </c>
      <c r="C436" s="1" t="s">
        <v>379</v>
      </c>
      <c r="I436" s="1" t="n">
        <v>202100</v>
      </c>
      <c r="J436" s="1" t="n">
        <v>3000</v>
      </c>
    </row>
    <row r="437" customFormat="false" ht="14.25" hidden="false" customHeight="false" outlineLevel="0" collapsed="false">
      <c r="A437" s="1" t="n">
        <v>49</v>
      </c>
      <c r="C437" s="1" t="s">
        <v>380</v>
      </c>
      <c r="I437" s="1" t="n">
        <v>202100</v>
      </c>
      <c r="J437" s="1" t="n">
        <v>30000</v>
      </c>
    </row>
    <row r="438" customFormat="false" ht="14.25" hidden="false" customHeight="false" outlineLevel="0" collapsed="false">
      <c r="A438" s="1" t="n">
        <v>49</v>
      </c>
      <c r="C438" s="1" t="s">
        <v>382</v>
      </c>
      <c r="I438" s="1" t="n">
        <v>202100</v>
      </c>
      <c r="J438" s="1" t="n">
        <v>2000</v>
      </c>
    </row>
    <row r="439" customFormat="false" ht="14.25" hidden="false" customHeight="false" outlineLevel="0" collapsed="false">
      <c r="A439" s="1" t="n">
        <v>49</v>
      </c>
      <c r="C439" s="1" t="s">
        <v>383</v>
      </c>
      <c r="I439" s="1" t="n">
        <v>202100</v>
      </c>
      <c r="J439" s="1" t="n">
        <v>40000</v>
      </c>
    </row>
    <row r="440" customFormat="false" ht="14.25" hidden="false" customHeight="false" outlineLevel="0" collapsed="false">
      <c r="A440" s="1" t="n">
        <v>49</v>
      </c>
      <c r="C440" s="1" t="s">
        <v>384</v>
      </c>
      <c r="I440" s="1" t="n">
        <v>202100</v>
      </c>
      <c r="J440" s="1" t="n">
        <v>90000</v>
      </c>
    </row>
    <row r="441" customFormat="false" ht="14.25" hidden="false" customHeight="false" outlineLevel="0" collapsed="false">
      <c r="A441" s="1" t="n">
        <v>49</v>
      </c>
      <c r="C441" s="1" t="s">
        <v>385</v>
      </c>
      <c r="I441" s="1" t="n">
        <v>202100</v>
      </c>
      <c r="J441" s="1" t="n">
        <v>120000</v>
      </c>
    </row>
    <row r="442" customFormat="false" ht="14.25" hidden="false" customHeight="false" outlineLevel="0" collapsed="false">
      <c r="A442" s="1" t="n">
        <v>49</v>
      </c>
      <c r="C442" s="1" t="s">
        <v>386</v>
      </c>
      <c r="I442" s="1" t="n">
        <v>202100</v>
      </c>
      <c r="J442" s="1" t="n">
        <v>20000</v>
      </c>
    </row>
    <row r="443" customFormat="false" ht="14.25" hidden="false" customHeight="false" outlineLevel="0" collapsed="false">
      <c r="A443" s="1" t="n">
        <v>49</v>
      </c>
      <c r="C443" s="1" t="s">
        <v>387</v>
      </c>
      <c r="I443" s="1" t="n">
        <v>202100</v>
      </c>
      <c r="J443" s="1" t="n">
        <v>15000</v>
      </c>
    </row>
    <row r="444" customFormat="false" ht="14.25" hidden="false" customHeight="false" outlineLevel="0" collapsed="false">
      <c r="A444" s="1" t="n">
        <v>49</v>
      </c>
      <c r="C444" s="1" t="s">
        <v>389</v>
      </c>
      <c r="I444" s="1" t="n">
        <v>202100</v>
      </c>
      <c r="J444" s="1" t="n">
        <v>50000</v>
      </c>
    </row>
    <row r="445" customFormat="false" ht="14.25" hidden="false" customHeight="false" outlineLevel="0" collapsed="false">
      <c r="A445" s="1" t="n">
        <v>49</v>
      </c>
      <c r="C445" s="1" t="s">
        <v>392</v>
      </c>
      <c r="I445" s="1" t="n">
        <v>202100</v>
      </c>
      <c r="J445" s="1" t="n">
        <v>10000</v>
      </c>
    </row>
    <row r="446" customFormat="false" ht="14.25" hidden="false" customHeight="false" outlineLevel="0" collapsed="false">
      <c r="A446" s="1" t="n">
        <v>49</v>
      </c>
      <c r="C446" s="1" t="s">
        <v>393</v>
      </c>
      <c r="I446" s="1" t="n">
        <v>202100</v>
      </c>
      <c r="J446" s="1" t="n">
        <v>50000</v>
      </c>
    </row>
    <row r="447" customFormat="false" ht="14.25" hidden="false" customHeight="false" outlineLevel="0" collapsed="false">
      <c r="A447" s="1" t="n">
        <v>49</v>
      </c>
      <c r="C447" s="1" t="s">
        <v>394</v>
      </c>
      <c r="I447" s="1" t="n">
        <v>202100</v>
      </c>
      <c r="J447" s="1" t="n">
        <v>10000</v>
      </c>
    </row>
    <row r="448" customFormat="false" ht="14.25" hidden="false" customHeight="false" outlineLevel="0" collapsed="false">
      <c r="A448" s="1" t="n">
        <v>49</v>
      </c>
      <c r="C448" s="1" t="s">
        <v>395</v>
      </c>
      <c r="I448" s="1" t="n">
        <v>202100</v>
      </c>
      <c r="J448" s="1" t="n">
        <v>10000</v>
      </c>
    </row>
    <row r="449" customFormat="false" ht="14.25" hidden="false" customHeight="false" outlineLevel="0" collapsed="false">
      <c r="A449" s="1" t="n">
        <v>49</v>
      </c>
      <c r="C449" s="1" t="s">
        <v>396</v>
      </c>
      <c r="I449" s="1" t="n">
        <v>202100</v>
      </c>
      <c r="J449" s="1" t="n">
        <v>10000</v>
      </c>
    </row>
    <row r="450" customFormat="false" ht="14.25" hidden="false" customHeight="false" outlineLevel="0" collapsed="false">
      <c r="A450" s="1" t="n">
        <v>49</v>
      </c>
      <c r="C450" s="1" t="s">
        <v>397</v>
      </c>
      <c r="I450" s="1" t="n">
        <v>202100</v>
      </c>
      <c r="J450" s="1" t="n">
        <v>160000</v>
      </c>
    </row>
    <row r="451" customFormat="false" ht="14.25" hidden="false" customHeight="false" outlineLevel="0" collapsed="false">
      <c r="A451" s="1" t="n">
        <v>49</v>
      </c>
      <c r="C451" s="1" t="s">
        <v>403</v>
      </c>
      <c r="I451" s="1" t="n">
        <v>202100</v>
      </c>
      <c r="J451" s="1" t="n">
        <v>150000</v>
      </c>
    </row>
    <row r="452" customFormat="false" ht="14.25" hidden="false" customHeight="false" outlineLevel="0" collapsed="false">
      <c r="A452" s="1" t="n">
        <v>49</v>
      </c>
      <c r="C452" s="1" t="s">
        <v>407</v>
      </c>
      <c r="I452" s="1" t="n">
        <v>202100</v>
      </c>
      <c r="J452" s="1" t="n">
        <v>50000</v>
      </c>
    </row>
    <row r="453" customFormat="false" ht="14.25" hidden="false" customHeight="false" outlineLevel="0" collapsed="false">
      <c r="A453" s="1" t="n">
        <v>49</v>
      </c>
      <c r="C453" s="1" t="s">
        <v>411</v>
      </c>
      <c r="I453" s="1" t="n">
        <v>202100</v>
      </c>
      <c r="J453" s="1" t="n">
        <v>120000</v>
      </c>
    </row>
    <row r="454" customFormat="false" ht="14.25" hidden="false" customHeight="false" outlineLevel="0" collapsed="false">
      <c r="A454" s="1" t="n">
        <v>49</v>
      </c>
      <c r="C454" s="1" t="s">
        <v>413</v>
      </c>
      <c r="I454" s="1" t="n">
        <v>202100</v>
      </c>
      <c r="J454" s="1" t="n">
        <v>9500</v>
      </c>
    </row>
    <row r="455" customFormat="false" ht="14.25" hidden="false" customHeight="false" outlineLevel="0" collapsed="false">
      <c r="A455" s="1" t="n">
        <v>49</v>
      </c>
      <c r="C455" s="1" t="s">
        <v>414</v>
      </c>
      <c r="I455" s="1" t="n">
        <v>202100</v>
      </c>
      <c r="J455" s="1" t="n">
        <v>290000</v>
      </c>
    </row>
    <row r="456" customFormat="false" ht="14.25" hidden="false" customHeight="false" outlineLevel="0" collapsed="false">
      <c r="A456" s="1" t="n">
        <v>49</v>
      </c>
      <c r="C456" s="1" t="s">
        <v>416</v>
      </c>
      <c r="I456" s="1" t="n">
        <v>202100</v>
      </c>
      <c r="J456" s="1" t="n">
        <v>14250</v>
      </c>
    </row>
    <row r="457" customFormat="false" ht="14.25" hidden="false" customHeight="false" outlineLevel="0" collapsed="false">
      <c r="A457" s="1" t="n">
        <v>49</v>
      </c>
      <c r="C457" s="1" t="s">
        <v>417</v>
      </c>
      <c r="I457" s="1" t="n">
        <v>202100</v>
      </c>
      <c r="J457" s="1" t="n">
        <v>14250</v>
      </c>
    </row>
    <row r="458" customFormat="false" ht="14.25" hidden="false" customHeight="false" outlineLevel="0" collapsed="false">
      <c r="A458" s="1" t="n">
        <v>49</v>
      </c>
      <c r="C458" s="1" t="s">
        <v>424</v>
      </c>
      <c r="I458" s="1" t="n">
        <v>202100</v>
      </c>
      <c r="J458" s="1" t="n">
        <v>5000</v>
      </c>
    </row>
    <row r="459" customFormat="false" ht="14.25" hidden="false" customHeight="false" outlineLevel="0" collapsed="false">
      <c r="A459" s="1" t="n">
        <v>49</v>
      </c>
      <c r="C459" s="1" t="s">
        <v>425</v>
      </c>
      <c r="I459" s="1" t="n">
        <v>202100</v>
      </c>
      <c r="J459" s="1" t="n">
        <v>95000</v>
      </c>
    </row>
    <row r="460" customFormat="false" ht="14.25" hidden="false" customHeight="false" outlineLevel="0" collapsed="false">
      <c r="A460" s="1" t="n">
        <v>49</v>
      </c>
      <c r="C460" s="1" t="s">
        <v>426</v>
      </c>
      <c r="I460" s="1" t="n">
        <v>202100</v>
      </c>
      <c r="J460" s="1" t="n">
        <v>5000</v>
      </c>
    </row>
    <row r="461" customFormat="false" ht="14.25" hidden="false" customHeight="false" outlineLevel="0" collapsed="false">
      <c r="A461" s="1" t="n">
        <v>49</v>
      </c>
      <c r="C461" s="1" t="s">
        <v>427</v>
      </c>
      <c r="I461" s="1" t="n">
        <v>202100</v>
      </c>
      <c r="J461" s="1" t="n">
        <v>20000</v>
      </c>
    </row>
    <row r="462" customFormat="false" ht="14.25" hidden="false" customHeight="false" outlineLevel="0" collapsed="false">
      <c r="A462" s="1" t="n">
        <v>49</v>
      </c>
      <c r="C462" s="1" t="s">
        <v>428</v>
      </c>
      <c r="I462" s="1" t="n">
        <v>202100</v>
      </c>
      <c r="J462" s="1" t="n">
        <v>5000</v>
      </c>
    </row>
    <row r="463" customFormat="false" ht="14.25" hidden="false" customHeight="false" outlineLevel="0" collapsed="false">
      <c r="A463" s="1" t="n">
        <v>49</v>
      </c>
      <c r="C463" s="1" t="s">
        <v>429</v>
      </c>
      <c r="I463" s="1" t="n">
        <v>202100</v>
      </c>
      <c r="J463" s="1" t="n">
        <v>70000</v>
      </c>
    </row>
    <row r="464" customFormat="false" ht="14.25" hidden="false" customHeight="false" outlineLevel="0" collapsed="false">
      <c r="A464" s="1" t="n">
        <v>49</v>
      </c>
      <c r="C464" s="1" t="s">
        <v>430</v>
      </c>
      <c r="I464" s="1" t="n">
        <v>202100</v>
      </c>
      <c r="J464" s="1" t="n">
        <v>320000</v>
      </c>
    </row>
    <row r="465" customFormat="false" ht="14.25" hidden="false" customHeight="false" outlineLevel="0" collapsed="false">
      <c r="A465" s="1" t="n">
        <v>49</v>
      </c>
      <c r="C465" s="1" t="s">
        <v>432</v>
      </c>
      <c r="I465" s="1" t="n">
        <v>202100</v>
      </c>
      <c r="J465" s="1" t="n">
        <v>15000</v>
      </c>
    </row>
    <row r="466" customFormat="false" ht="14.25" hidden="false" customHeight="false" outlineLevel="0" collapsed="false">
      <c r="A466" s="1" t="n">
        <v>49</v>
      </c>
      <c r="C466" s="1" t="s">
        <v>433</v>
      </c>
      <c r="I466" s="1" t="n">
        <v>202100</v>
      </c>
      <c r="J466" s="1" t="n">
        <v>35000</v>
      </c>
    </row>
    <row r="467" customFormat="false" ht="14.25" hidden="false" customHeight="false" outlineLevel="0" collapsed="false">
      <c r="A467" s="1" t="n">
        <v>49</v>
      </c>
      <c r="C467" s="1" t="s">
        <v>434</v>
      </c>
      <c r="I467" s="1" t="n">
        <v>202100</v>
      </c>
      <c r="J467" s="1" t="n">
        <v>30000</v>
      </c>
    </row>
    <row r="468" customFormat="false" ht="14.25" hidden="false" customHeight="false" outlineLevel="0" collapsed="false">
      <c r="A468" s="1" t="n">
        <v>49</v>
      </c>
      <c r="C468" s="1" t="s">
        <v>435</v>
      </c>
      <c r="I468" s="1" t="n">
        <v>202100</v>
      </c>
      <c r="J468" s="1" t="n">
        <v>40000</v>
      </c>
    </row>
    <row r="469" customFormat="false" ht="14.25" hidden="false" customHeight="false" outlineLevel="0" collapsed="false">
      <c r="A469" s="1" t="n">
        <v>49</v>
      </c>
      <c r="C469" s="1" t="s">
        <v>436</v>
      </c>
      <c r="I469" s="1" t="n">
        <v>202100</v>
      </c>
      <c r="J469" s="1" t="n">
        <v>40000</v>
      </c>
    </row>
    <row r="470" customFormat="false" ht="14.25" hidden="false" customHeight="false" outlineLevel="0" collapsed="false">
      <c r="A470" s="1" t="n">
        <v>49</v>
      </c>
      <c r="C470" s="1" t="s">
        <v>441</v>
      </c>
      <c r="I470" s="1" t="n">
        <v>202100</v>
      </c>
      <c r="J470" s="1" t="n">
        <v>5000</v>
      </c>
    </row>
    <row r="471" customFormat="false" ht="14.25" hidden="false" customHeight="false" outlineLevel="0" collapsed="false">
      <c r="A471" s="1" t="n">
        <v>49</v>
      </c>
      <c r="C471" s="1" t="s">
        <v>443</v>
      </c>
      <c r="I471" s="1" t="n">
        <v>202100</v>
      </c>
      <c r="J471" s="1" t="n">
        <v>93000</v>
      </c>
    </row>
    <row r="472" customFormat="false" ht="14.25" hidden="false" customHeight="false" outlineLevel="0" collapsed="false">
      <c r="A472" s="1" t="n">
        <v>49</v>
      </c>
      <c r="C472" s="1" t="s">
        <v>444</v>
      </c>
      <c r="I472" s="1" t="n">
        <v>202100</v>
      </c>
      <c r="J472" s="1" t="n">
        <v>1650000</v>
      </c>
    </row>
    <row r="473" customFormat="false" ht="14.25" hidden="false" customHeight="false" outlineLevel="0" collapsed="false">
      <c r="A473" s="1" t="n">
        <v>49</v>
      </c>
      <c r="C473" s="1" t="s">
        <v>447</v>
      </c>
      <c r="I473" s="1" t="n">
        <v>202100</v>
      </c>
      <c r="J473" s="1" t="n">
        <v>39000</v>
      </c>
    </row>
    <row r="474" customFormat="false" ht="14.25" hidden="false" customHeight="false" outlineLevel="0" collapsed="false">
      <c r="A474" s="1" t="n">
        <v>49</v>
      </c>
      <c r="C474" s="1" t="s">
        <v>448</v>
      </c>
      <c r="I474" s="1" t="n">
        <v>202100</v>
      </c>
      <c r="J474" s="1" t="n">
        <v>39000</v>
      </c>
    </row>
    <row r="475" customFormat="false" ht="14.25" hidden="false" customHeight="false" outlineLevel="0" collapsed="false">
      <c r="A475" s="1" t="n">
        <v>49</v>
      </c>
      <c r="C475" s="1" t="s">
        <v>449</v>
      </c>
      <c r="I475" s="1" t="n">
        <v>202100</v>
      </c>
      <c r="J475" s="1" t="n">
        <v>22000</v>
      </c>
    </row>
    <row r="476" customFormat="false" ht="14.25" hidden="false" customHeight="false" outlineLevel="0" collapsed="false">
      <c r="A476" s="1" t="n">
        <v>49</v>
      </c>
      <c r="C476" s="1" t="s">
        <v>450</v>
      </c>
      <c r="I476" s="1" t="n">
        <v>202100</v>
      </c>
      <c r="J476" s="1" t="n">
        <v>22000</v>
      </c>
    </row>
    <row r="477" customFormat="false" ht="14.25" hidden="false" customHeight="false" outlineLevel="0" collapsed="false">
      <c r="A477" s="1" t="n">
        <v>49</v>
      </c>
      <c r="C477" s="1" t="s">
        <v>459</v>
      </c>
      <c r="I477" s="1" t="n">
        <v>202100</v>
      </c>
      <c r="J477" s="1" t="n">
        <v>3102</v>
      </c>
    </row>
    <row r="478" customFormat="false" ht="14.25" hidden="false" customHeight="false" outlineLevel="0" collapsed="false">
      <c r="A478" s="1" t="n">
        <v>49</v>
      </c>
      <c r="C478" s="1" t="s">
        <v>460</v>
      </c>
      <c r="I478" s="1" t="n">
        <v>202100</v>
      </c>
      <c r="J478" s="1" t="n">
        <v>15000</v>
      </c>
    </row>
    <row r="479" customFormat="false" ht="14.25" hidden="false" customHeight="false" outlineLevel="0" collapsed="false">
      <c r="A479" s="1" t="n">
        <v>49</v>
      </c>
      <c r="C479" s="1" t="s">
        <v>461</v>
      </c>
      <c r="I479" s="1" t="n">
        <v>202100</v>
      </c>
      <c r="J479" s="1" t="n">
        <v>4200</v>
      </c>
    </row>
    <row r="480" customFormat="false" ht="14.25" hidden="false" customHeight="false" outlineLevel="0" collapsed="false">
      <c r="A480" s="1" t="n">
        <v>49</v>
      </c>
      <c r="C480" s="1" t="s">
        <v>462</v>
      </c>
      <c r="I480" s="1" t="n">
        <v>202100</v>
      </c>
      <c r="J480" s="1" t="n">
        <v>1500</v>
      </c>
    </row>
    <row r="481" customFormat="false" ht="14.25" hidden="false" customHeight="false" outlineLevel="0" collapsed="false">
      <c r="A481" s="1" t="n">
        <v>49</v>
      </c>
      <c r="C481" s="1" t="s">
        <v>463</v>
      </c>
      <c r="I481" s="1" t="n">
        <v>202100</v>
      </c>
      <c r="J481" s="1" t="n">
        <v>10000</v>
      </c>
    </row>
    <row r="482" customFormat="false" ht="14.25" hidden="false" customHeight="false" outlineLevel="0" collapsed="false">
      <c r="A482" s="1" t="n">
        <v>49</v>
      </c>
      <c r="C482" s="1" t="s">
        <v>464</v>
      </c>
      <c r="I482" s="1" t="n">
        <v>202100</v>
      </c>
      <c r="J482" s="1" t="n">
        <v>5000</v>
      </c>
    </row>
    <row r="483" customFormat="false" ht="14.25" hidden="false" customHeight="false" outlineLevel="0" collapsed="false">
      <c r="A483" s="1" t="n">
        <v>49</v>
      </c>
      <c r="C483" s="1" t="s">
        <v>466</v>
      </c>
      <c r="I483" s="1" t="n">
        <v>202100</v>
      </c>
      <c r="J483" s="1" t="n">
        <v>80400</v>
      </c>
    </row>
    <row r="484" customFormat="false" ht="14.25" hidden="false" customHeight="false" outlineLevel="0" collapsed="false">
      <c r="A484" s="1" t="n">
        <v>49</v>
      </c>
      <c r="C484" s="1" t="s">
        <v>468</v>
      </c>
      <c r="I484" s="1" t="n">
        <v>202100</v>
      </c>
      <c r="J484" s="1" t="n">
        <v>140000</v>
      </c>
    </row>
    <row r="485" customFormat="false" ht="14.25" hidden="false" customHeight="false" outlineLevel="0" collapsed="false">
      <c r="A485" s="1" t="n">
        <v>49</v>
      </c>
      <c r="C485" s="1" t="s">
        <v>470</v>
      </c>
      <c r="I485" s="1" t="n">
        <v>202100</v>
      </c>
      <c r="J485" s="1" t="n">
        <v>228000</v>
      </c>
    </row>
    <row r="486" customFormat="false" ht="14.25" hidden="false" customHeight="false" outlineLevel="0" collapsed="false">
      <c r="A486" s="1" t="n">
        <v>49</v>
      </c>
      <c r="C486" s="1" t="s">
        <v>475</v>
      </c>
      <c r="I486" s="1" t="n">
        <v>202100</v>
      </c>
      <c r="J486" s="1" t="n">
        <v>185000</v>
      </c>
    </row>
    <row r="487" customFormat="false" ht="14.25" hidden="false" customHeight="false" outlineLevel="0" collapsed="false">
      <c r="A487" s="1" t="n">
        <v>49</v>
      </c>
      <c r="C487" s="1" t="s">
        <v>476</v>
      </c>
      <c r="I487" s="1" t="n">
        <v>202100</v>
      </c>
      <c r="J487" s="1" t="n">
        <v>599000</v>
      </c>
    </row>
    <row r="488" customFormat="false" ht="14.25" hidden="false" customHeight="false" outlineLevel="0" collapsed="false">
      <c r="A488" s="1" t="n">
        <v>49</v>
      </c>
      <c r="C488" s="1" t="s">
        <v>479</v>
      </c>
      <c r="I488" s="1" t="n">
        <v>202100</v>
      </c>
      <c r="J488" s="1" t="n">
        <v>119000</v>
      </c>
    </row>
    <row r="489" customFormat="false" ht="14.25" hidden="false" customHeight="false" outlineLevel="0" collapsed="false">
      <c r="A489" s="1" t="n">
        <v>49</v>
      </c>
      <c r="C489" s="1" t="s">
        <v>480</v>
      </c>
      <c r="I489" s="1" t="n">
        <v>202100</v>
      </c>
      <c r="J489" s="1" t="n">
        <v>271000</v>
      </c>
    </row>
    <row r="490" customFormat="false" ht="14.25" hidden="false" customHeight="false" outlineLevel="0" collapsed="false">
      <c r="A490" s="1" t="n">
        <v>49</v>
      </c>
      <c r="C490" s="1" t="s">
        <v>483</v>
      </c>
      <c r="I490" s="1" t="n">
        <v>202100</v>
      </c>
      <c r="J490" s="1" t="n">
        <v>1000</v>
      </c>
    </row>
    <row r="491" customFormat="false" ht="14.25" hidden="false" customHeight="false" outlineLevel="0" collapsed="false">
      <c r="A491" s="1" t="n">
        <v>49</v>
      </c>
      <c r="C491" s="1" t="s">
        <v>484</v>
      </c>
      <c r="I491" s="1" t="n">
        <v>202100</v>
      </c>
      <c r="J491" s="1" t="n">
        <v>120000</v>
      </c>
    </row>
    <row r="492" customFormat="false" ht="14.25" hidden="false" customHeight="false" outlineLevel="0" collapsed="false">
      <c r="A492" s="1" t="n">
        <v>49</v>
      </c>
      <c r="C492" s="1" t="s">
        <v>485</v>
      </c>
      <c r="I492" s="1" t="n">
        <v>202100</v>
      </c>
      <c r="J492" s="1" t="n">
        <v>20000</v>
      </c>
    </row>
    <row r="493" customFormat="false" ht="14.25" hidden="false" customHeight="false" outlineLevel="0" collapsed="false">
      <c r="A493" s="1" t="n">
        <v>49</v>
      </c>
      <c r="C493" s="1" t="s">
        <v>486</v>
      </c>
      <c r="I493" s="1" t="n">
        <v>202100</v>
      </c>
      <c r="J493" s="1" t="n">
        <v>2000</v>
      </c>
    </row>
    <row r="494" customFormat="false" ht="14.25" hidden="false" customHeight="false" outlineLevel="0" collapsed="false">
      <c r="A494" s="1" t="n">
        <v>49</v>
      </c>
      <c r="C494" s="1" t="s">
        <v>487</v>
      </c>
      <c r="I494" s="1" t="n">
        <v>202100</v>
      </c>
      <c r="J494" s="1" t="n">
        <v>5000</v>
      </c>
    </row>
    <row r="495" customFormat="false" ht="14.25" hidden="false" customHeight="false" outlineLevel="0" collapsed="false">
      <c r="A495" s="1" t="n">
        <v>49</v>
      </c>
      <c r="C495" s="1" t="s">
        <v>488</v>
      </c>
      <c r="I495" s="1" t="n">
        <v>202100</v>
      </c>
      <c r="J495" s="1" t="n">
        <v>2000</v>
      </c>
    </row>
    <row r="496" customFormat="false" ht="14.25" hidden="false" customHeight="false" outlineLevel="0" collapsed="false">
      <c r="A496" s="1" t="n">
        <v>49</v>
      </c>
      <c r="C496" s="1" t="s">
        <v>489</v>
      </c>
      <c r="I496" s="1" t="n">
        <v>202100</v>
      </c>
      <c r="J496" s="1" t="n">
        <v>300000</v>
      </c>
    </row>
    <row r="497" customFormat="false" ht="14.25" hidden="false" customHeight="false" outlineLevel="0" collapsed="false">
      <c r="A497" s="1" t="n">
        <v>49</v>
      </c>
      <c r="C497" s="1" t="s">
        <v>490</v>
      </c>
      <c r="I497" s="1" t="n">
        <v>202100</v>
      </c>
      <c r="J497" s="1" t="n">
        <v>2000</v>
      </c>
    </row>
    <row r="498" customFormat="false" ht="14.25" hidden="false" customHeight="false" outlineLevel="0" collapsed="false">
      <c r="A498" s="1" t="n">
        <v>49</v>
      </c>
      <c r="C498" s="1" t="s">
        <v>491</v>
      </c>
      <c r="I498" s="1" t="n">
        <v>202100</v>
      </c>
      <c r="J498" s="1" t="n">
        <v>100000</v>
      </c>
    </row>
    <row r="499" customFormat="false" ht="14.25" hidden="false" customHeight="false" outlineLevel="0" collapsed="false">
      <c r="A499" s="1" t="n">
        <v>49</v>
      </c>
      <c r="C499" s="1" t="s">
        <v>492</v>
      </c>
      <c r="I499" s="1" t="n">
        <v>202100</v>
      </c>
      <c r="J499" s="1" t="n">
        <v>1000</v>
      </c>
    </row>
    <row r="500" customFormat="false" ht="14.25" hidden="false" customHeight="false" outlineLevel="0" collapsed="false">
      <c r="A500" s="1" t="n">
        <v>49</v>
      </c>
      <c r="C500" s="1" t="s">
        <v>493</v>
      </c>
      <c r="I500" s="1" t="n">
        <v>202100</v>
      </c>
      <c r="J500" s="1" t="n">
        <v>200000</v>
      </c>
    </row>
    <row r="501" customFormat="false" ht="14.25" hidden="false" customHeight="false" outlineLevel="0" collapsed="false">
      <c r="A501" s="1" t="n">
        <v>49</v>
      </c>
      <c r="C501" s="1" t="s">
        <v>494</v>
      </c>
      <c r="I501" s="1" t="n">
        <v>202100</v>
      </c>
      <c r="J501" s="1" t="n">
        <v>1000</v>
      </c>
    </row>
    <row r="502" customFormat="false" ht="14.25" hidden="false" customHeight="false" outlineLevel="0" collapsed="false">
      <c r="A502" s="1" t="n">
        <v>49</v>
      </c>
      <c r="C502" s="1" t="s">
        <v>495</v>
      </c>
      <c r="I502" s="1" t="n">
        <v>202100</v>
      </c>
      <c r="J502" s="1" t="n">
        <v>50000</v>
      </c>
    </row>
    <row r="503" customFormat="false" ht="14.25" hidden="false" customHeight="false" outlineLevel="0" collapsed="false">
      <c r="A503" s="1" t="n">
        <v>49</v>
      </c>
      <c r="C503" s="1" t="s">
        <v>496</v>
      </c>
      <c r="I503" s="1" t="n">
        <v>202100</v>
      </c>
      <c r="J503" s="1" t="n">
        <v>3000</v>
      </c>
    </row>
    <row r="504" customFormat="false" ht="14.25" hidden="false" customHeight="false" outlineLevel="0" collapsed="false">
      <c r="A504" s="1" t="n">
        <v>49</v>
      </c>
      <c r="C504" s="1" t="s">
        <v>497</v>
      </c>
      <c r="I504" s="1" t="n">
        <v>202100</v>
      </c>
      <c r="J504" s="1" t="n">
        <v>190000</v>
      </c>
    </row>
    <row r="505" customFormat="false" ht="14.25" hidden="false" customHeight="false" outlineLevel="0" collapsed="false">
      <c r="A505" s="1" t="n">
        <v>49</v>
      </c>
      <c r="C505" s="1" t="s">
        <v>499</v>
      </c>
      <c r="I505" s="1" t="n">
        <v>202100</v>
      </c>
      <c r="J505" s="1" t="n">
        <v>150000</v>
      </c>
    </row>
    <row r="506" customFormat="false" ht="14.25" hidden="false" customHeight="false" outlineLevel="0" collapsed="false">
      <c r="A506" s="1" t="n">
        <v>49</v>
      </c>
      <c r="C506" s="1" t="s">
        <v>509</v>
      </c>
      <c r="I506" s="1" t="n">
        <v>202100</v>
      </c>
      <c r="J506" s="1" t="n">
        <v>332000</v>
      </c>
    </row>
    <row r="507" customFormat="false" ht="14.25" hidden="false" customHeight="false" outlineLevel="0" collapsed="false">
      <c r="A507" s="1" t="n">
        <v>49</v>
      </c>
      <c r="C507" s="1" t="s">
        <v>510</v>
      </c>
      <c r="I507" s="1" t="n">
        <v>202100</v>
      </c>
      <c r="J507" s="1" t="n">
        <v>2000</v>
      </c>
    </row>
    <row r="508" customFormat="false" ht="14.25" hidden="false" customHeight="false" outlineLevel="0" collapsed="false">
      <c r="A508" s="1" t="n">
        <v>49</v>
      </c>
      <c r="C508" s="1" t="s">
        <v>512</v>
      </c>
      <c r="I508" s="1" t="n">
        <v>202100</v>
      </c>
      <c r="J508" s="1" t="n">
        <v>57000</v>
      </c>
    </row>
    <row r="509" customFormat="false" ht="14.25" hidden="false" customHeight="false" outlineLevel="0" collapsed="false">
      <c r="A509" s="1" t="n">
        <v>49</v>
      </c>
      <c r="C509" s="1" t="s">
        <v>519</v>
      </c>
      <c r="I509" s="1" t="n">
        <v>202100</v>
      </c>
      <c r="J509" s="1" t="n">
        <v>50000</v>
      </c>
    </row>
    <row r="510" customFormat="false" ht="14.25" hidden="false" customHeight="false" outlineLevel="0" collapsed="false">
      <c r="A510" s="1" t="n">
        <v>49</v>
      </c>
      <c r="C510" s="1" t="s">
        <v>520</v>
      </c>
      <c r="I510" s="1" t="n">
        <v>202100</v>
      </c>
      <c r="J510" s="1" t="n">
        <v>50000</v>
      </c>
    </row>
    <row r="511" customFormat="false" ht="14.25" hidden="false" customHeight="false" outlineLevel="0" collapsed="false">
      <c r="A511" s="1" t="n">
        <v>49</v>
      </c>
      <c r="C511" s="1" t="s">
        <v>525</v>
      </c>
      <c r="I511" s="1" t="n">
        <v>202100</v>
      </c>
      <c r="J511" s="1" t="n">
        <v>13000</v>
      </c>
    </row>
    <row r="512" customFormat="false" ht="14.25" hidden="false" customHeight="false" outlineLevel="0" collapsed="false">
      <c r="A512" s="1" t="n">
        <v>49</v>
      </c>
      <c r="C512" s="1" t="s">
        <v>526</v>
      </c>
      <c r="I512" s="1" t="n">
        <v>202100</v>
      </c>
      <c r="J512" s="1" t="n">
        <v>87000</v>
      </c>
    </row>
    <row r="513" customFormat="false" ht="14.25" hidden="false" customHeight="false" outlineLevel="0" collapsed="false">
      <c r="A513" s="1" t="n">
        <v>49</v>
      </c>
      <c r="C513" s="1" t="s">
        <v>527</v>
      </c>
      <c r="I513" s="1" t="n">
        <v>202100</v>
      </c>
      <c r="J513" s="1" t="n">
        <v>13000</v>
      </c>
    </row>
    <row r="514" customFormat="false" ht="14.25" hidden="false" customHeight="false" outlineLevel="0" collapsed="false">
      <c r="A514" s="1" t="n">
        <v>49</v>
      </c>
      <c r="C514" s="1" t="s">
        <v>528</v>
      </c>
      <c r="I514" s="1" t="n">
        <v>202100</v>
      </c>
      <c r="J514" s="1" t="n">
        <v>87000</v>
      </c>
    </row>
    <row r="515" customFormat="false" ht="14.25" hidden="false" customHeight="false" outlineLevel="0" collapsed="false">
      <c r="A515" s="1" t="n">
        <v>49</v>
      </c>
      <c r="C515" s="1" t="s">
        <v>529</v>
      </c>
      <c r="I515" s="1" t="n">
        <v>202100</v>
      </c>
      <c r="J515" s="1" t="n">
        <v>45500</v>
      </c>
    </row>
    <row r="516" customFormat="false" ht="14.25" hidden="false" customHeight="false" outlineLevel="0" collapsed="false">
      <c r="A516" s="1" t="n">
        <v>49</v>
      </c>
      <c r="C516" s="1" t="s">
        <v>530</v>
      </c>
      <c r="I516" s="1" t="n">
        <v>202100</v>
      </c>
      <c r="J516" s="1" t="n">
        <v>300000</v>
      </c>
    </row>
    <row r="517" customFormat="false" ht="14.25" hidden="false" customHeight="false" outlineLevel="0" collapsed="false">
      <c r="A517" s="1" t="n">
        <v>49</v>
      </c>
      <c r="C517" s="1" t="s">
        <v>531</v>
      </c>
      <c r="I517" s="1" t="n">
        <v>202100</v>
      </c>
      <c r="J517" s="1" t="n">
        <v>120343.58</v>
      </c>
    </row>
    <row r="518" customFormat="false" ht="14.25" hidden="false" customHeight="false" outlineLevel="0" collapsed="false">
      <c r="A518" s="1" t="n">
        <v>49</v>
      </c>
      <c r="C518" s="1" t="s">
        <v>532</v>
      </c>
      <c r="I518" s="1" t="n">
        <v>202100</v>
      </c>
      <c r="J518" s="1" t="n">
        <v>83314.79</v>
      </c>
    </row>
    <row r="519" customFormat="false" ht="14.25" hidden="false" customHeight="false" outlineLevel="0" collapsed="false">
      <c r="A519" s="1" t="n">
        <v>49</v>
      </c>
      <c r="C519" s="1" t="s">
        <v>533</v>
      </c>
      <c r="I519" s="1" t="n">
        <v>202100</v>
      </c>
      <c r="J519" s="1" t="n">
        <v>31225</v>
      </c>
    </row>
    <row r="520" customFormat="false" ht="14.25" hidden="false" customHeight="false" outlineLevel="0" collapsed="false">
      <c r="A520" s="1" t="n">
        <v>49</v>
      </c>
      <c r="C520" s="1" t="s">
        <v>534</v>
      </c>
      <c r="I520" s="1" t="n">
        <v>202100</v>
      </c>
      <c r="J520" s="1" t="n">
        <v>15900</v>
      </c>
    </row>
    <row r="521" customFormat="false" ht="14.25" hidden="false" customHeight="false" outlineLevel="0" collapsed="false">
      <c r="A521" s="1" t="n">
        <v>49</v>
      </c>
      <c r="C521" s="1" t="s">
        <v>535</v>
      </c>
      <c r="I521" s="1" t="n">
        <v>202100</v>
      </c>
      <c r="J521" s="1" t="n">
        <v>19049.15</v>
      </c>
    </row>
    <row r="522" customFormat="false" ht="14.25" hidden="false" customHeight="false" outlineLevel="0" collapsed="false">
      <c r="A522" s="1" t="n">
        <v>49</v>
      </c>
      <c r="C522" s="1" t="s">
        <v>536</v>
      </c>
      <c r="I522" s="1" t="n">
        <v>202100</v>
      </c>
      <c r="J522" s="1" t="n">
        <v>13187.87</v>
      </c>
    </row>
    <row r="523" customFormat="false" ht="14.25" hidden="false" customHeight="false" outlineLevel="0" collapsed="false">
      <c r="A523" s="1" t="n">
        <v>49</v>
      </c>
      <c r="C523" s="1" t="s">
        <v>537</v>
      </c>
      <c r="I523" s="1" t="n">
        <v>202100</v>
      </c>
      <c r="J523" s="1" t="n">
        <v>43355</v>
      </c>
    </row>
    <row r="524" customFormat="false" ht="14.25" hidden="false" customHeight="false" outlineLevel="0" collapsed="false">
      <c r="A524" s="1" t="n">
        <v>49</v>
      </c>
      <c r="C524" s="1" t="s">
        <v>538</v>
      </c>
      <c r="I524" s="1" t="n">
        <v>202100</v>
      </c>
      <c r="J524" s="1" t="n">
        <v>30015</v>
      </c>
    </row>
    <row r="525" customFormat="false" ht="14.25" hidden="false" customHeight="false" outlineLevel="0" collapsed="false">
      <c r="A525" s="1" t="n">
        <v>49</v>
      </c>
      <c r="C525" s="1" t="s">
        <v>539</v>
      </c>
      <c r="I525" s="1" t="n">
        <v>202100</v>
      </c>
      <c r="J525" s="1" t="n">
        <v>6175</v>
      </c>
    </row>
    <row r="526" customFormat="false" ht="14.25" hidden="false" customHeight="false" outlineLevel="0" collapsed="false">
      <c r="A526" s="1" t="n">
        <v>49</v>
      </c>
      <c r="C526" s="1" t="s">
        <v>540</v>
      </c>
      <c r="I526" s="1" t="n">
        <v>202100</v>
      </c>
      <c r="J526" s="1" t="n">
        <v>4275</v>
      </c>
    </row>
    <row r="527" customFormat="false" ht="14.25" hidden="false" customHeight="false" outlineLevel="0" collapsed="false">
      <c r="A527" s="1" t="n">
        <v>49</v>
      </c>
      <c r="C527" s="1" t="s">
        <v>541</v>
      </c>
      <c r="I527" s="1" t="n">
        <v>202100</v>
      </c>
      <c r="J527" s="1" t="n">
        <v>27495</v>
      </c>
    </row>
    <row r="528" customFormat="false" ht="14.25" hidden="false" customHeight="false" outlineLevel="0" collapsed="false">
      <c r="A528" s="1" t="n">
        <v>49</v>
      </c>
      <c r="C528" s="1" t="s">
        <v>542</v>
      </c>
      <c r="I528" s="1" t="n">
        <v>202100</v>
      </c>
      <c r="J528" s="1" t="n">
        <v>19035</v>
      </c>
    </row>
    <row r="529" customFormat="false" ht="14.25" hidden="false" customHeight="false" outlineLevel="0" collapsed="false">
      <c r="A529" s="1" t="n">
        <v>49</v>
      </c>
      <c r="C529" s="1" t="s">
        <v>543</v>
      </c>
      <c r="I529" s="1" t="n">
        <v>202100</v>
      </c>
      <c r="J529" s="1" t="n">
        <v>555431.91</v>
      </c>
    </row>
    <row r="530" customFormat="false" ht="14.25" hidden="false" customHeight="false" outlineLevel="0" collapsed="false">
      <c r="A530" s="1" t="n">
        <v>49</v>
      </c>
      <c r="C530" s="1" t="s">
        <v>544</v>
      </c>
      <c r="I530" s="1" t="n">
        <v>202100</v>
      </c>
      <c r="J530" s="1" t="n">
        <v>166629.57</v>
      </c>
    </row>
    <row r="531" customFormat="false" ht="14.25" hidden="false" customHeight="false" outlineLevel="0" collapsed="false">
      <c r="A531" s="1" t="n">
        <v>49</v>
      </c>
      <c r="C531" s="1" t="s">
        <v>545</v>
      </c>
      <c r="I531" s="1" t="n">
        <v>202100</v>
      </c>
      <c r="J531" s="1" t="n">
        <v>87919.13</v>
      </c>
    </row>
    <row r="532" customFormat="false" ht="14.25" hidden="false" customHeight="false" outlineLevel="0" collapsed="false">
      <c r="A532" s="1" t="n">
        <v>49</v>
      </c>
      <c r="C532" s="1" t="s">
        <v>546</v>
      </c>
      <c r="I532" s="1" t="n">
        <v>202100</v>
      </c>
      <c r="J532" s="1" t="n">
        <v>26375.74</v>
      </c>
    </row>
    <row r="533" customFormat="false" ht="14.25" hidden="false" customHeight="false" outlineLevel="0" collapsed="false">
      <c r="A533" s="1" t="n">
        <v>49</v>
      </c>
      <c r="C533" s="1" t="s">
        <v>547</v>
      </c>
      <c r="I533" s="1" t="n">
        <v>202100</v>
      </c>
      <c r="J533" s="1" t="n">
        <v>200100</v>
      </c>
    </row>
    <row r="534" customFormat="false" ht="14.25" hidden="false" customHeight="false" outlineLevel="0" collapsed="false">
      <c r="A534" s="1" t="n">
        <v>49</v>
      </c>
      <c r="C534" s="1" t="s">
        <v>548</v>
      </c>
      <c r="I534" s="1" t="n">
        <v>202100</v>
      </c>
      <c r="J534" s="1" t="n">
        <v>60030</v>
      </c>
    </row>
    <row r="535" customFormat="false" ht="14.25" hidden="false" customHeight="false" outlineLevel="0" collapsed="false">
      <c r="A535" s="1" t="n">
        <v>49</v>
      </c>
      <c r="C535" s="1" t="s">
        <v>549</v>
      </c>
      <c r="I535" s="1" t="n">
        <v>202100</v>
      </c>
      <c r="J535" s="1" t="n">
        <v>28500</v>
      </c>
    </row>
    <row r="536" customFormat="false" ht="14.25" hidden="false" customHeight="false" outlineLevel="0" collapsed="false">
      <c r="A536" s="1" t="n">
        <v>49</v>
      </c>
      <c r="C536" s="1" t="s">
        <v>550</v>
      </c>
      <c r="I536" s="1" t="n">
        <v>202100</v>
      </c>
      <c r="J536" s="1" t="n">
        <v>8550</v>
      </c>
    </row>
    <row r="537" customFormat="false" ht="14.25" hidden="false" customHeight="false" outlineLevel="0" collapsed="false">
      <c r="A537" s="1" t="n">
        <v>49</v>
      </c>
      <c r="C537" s="1" t="s">
        <v>551</v>
      </c>
      <c r="I537" s="1" t="n">
        <v>202100</v>
      </c>
      <c r="J537" s="1" t="n">
        <v>126900</v>
      </c>
    </row>
    <row r="538" customFormat="false" ht="14.25" hidden="false" customHeight="false" outlineLevel="0" collapsed="false">
      <c r="A538" s="1" t="n">
        <v>49</v>
      </c>
      <c r="C538" s="1" t="s">
        <v>552</v>
      </c>
      <c r="I538" s="1" t="n">
        <v>202100</v>
      </c>
      <c r="J538" s="1" t="n">
        <v>38070</v>
      </c>
    </row>
    <row r="539" customFormat="false" ht="14.25" hidden="false" customHeight="false" outlineLevel="0" collapsed="false">
      <c r="A539" s="1" t="n">
        <v>49</v>
      </c>
      <c r="C539" s="1" t="s">
        <v>561</v>
      </c>
      <c r="I539" s="1" t="n">
        <v>202100</v>
      </c>
      <c r="J539" s="1" t="n">
        <v>200000</v>
      </c>
    </row>
    <row r="540" customFormat="false" ht="14.25" hidden="false" customHeight="false" outlineLevel="0" collapsed="false">
      <c r="A540" s="1" t="n">
        <v>49</v>
      </c>
      <c r="C540" s="1" t="s">
        <v>562</v>
      </c>
      <c r="I540" s="1" t="n">
        <v>202100</v>
      </c>
      <c r="J540" s="1" t="n">
        <v>2000</v>
      </c>
    </row>
    <row r="541" customFormat="false" ht="14.25" hidden="false" customHeight="false" outlineLevel="0" collapsed="false">
      <c r="A541" s="1" t="n">
        <v>49</v>
      </c>
      <c r="C541" s="1" t="s">
        <v>563</v>
      </c>
      <c r="I541" s="1" t="n">
        <v>202100</v>
      </c>
      <c r="J541" s="1" t="n">
        <v>2000</v>
      </c>
    </row>
    <row r="542" customFormat="false" ht="14.25" hidden="false" customHeight="false" outlineLevel="0" collapsed="false">
      <c r="A542" s="1" t="n">
        <v>49</v>
      </c>
      <c r="C542" s="1" t="s">
        <v>564</v>
      </c>
      <c r="I542" s="1" t="n">
        <v>202100</v>
      </c>
      <c r="J542" s="1" t="n">
        <v>1000</v>
      </c>
    </row>
    <row r="543" customFormat="false" ht="14.25" hidden="false" customHeight="false" outlineLevel="0" collapsed="false">
      <c r="A543" s="1" t="n">
        <v>49</v>
      </c>
      <c r="C543" s="1" t="s">
        <v>565</v>
      </c>
      <c r="I543" s="1" t="n">
        <v>202100</v>
      </c>
      <c r="J543" s="1" t="n">
        <v>15000</v>
      </c>
    </row>
    <row r="544" customFormat="false" ht="14.25" hidden="false" customHeight="false" outlineLevel="0" collapsed="false">
      <c r="A544" s="1" t="n">
        <v>49</v>
      </c>
      <c r="C544" s="1" t="s">
        <v>566</v>
      </c>
      <c r="I544" s="1" t="n">
        <v>202100</v>
      </c>
      <c r="J544" s="1" t="n">
        <v>10000</v>
      </c>
    </row>
    <row r="545" customFormat="false" ht="14.25" hidden="false" customHeight="false" outlineLevel="0" collapsed="false">
      <c r="A545" s="1" t="n">
        <v>50</v>
      </c>
      <c r="C545" s="1" t="s">
        <v>357</v>
      </c>
      <c r="I545" s="1" t="n">
        <v>202100</v>
      </c>
      <c r="J545" s="1" t="n">
        <v>16000</v>
      </c>
    </row>
    <row r="546" customFormat="false" ht="14.25" hidden="false" customHeight="false" outlineLevel="0" collapsed="false">
      <c r="A546" s="1" t="n">
        <v>50</v>
      </c>
      <c r="C546" s="1" t="s">
        <v>359</v>
      </c>
      <c r="I546" s="1" t="n">
        <v>202100</v>
      </c>
      <c r="J546" s="1" t="n">
        <v>316000</v>
      </c>
    </row>
    <row r="547" customFormat="false" ht="14.25" hidden="false" customHeight="false" outlineLevel="0" collapsed="false">
      <c r="A547" s="1" t="n">
        <v>50</v>
      </c>
      <c r="C547" s="1" t="s">
        <v>362</v>
      </c>
      <c r="I547" s="1" t="n">
        <v>202100</v>
      </c>
      <c r="J547" s="1" t="n">
        <v>50000</v>
      </c>
    </row>
    <row r="548" customFormat="false" ht="14.25" hidden="false" customHeight="false" outlineLevel="0" collapsed="false">
      <c r="A548" s="1" t="n">
        <v>50</v>
      </c>
      <c r="C548" s="1" t="s">
        <v>364</v>
      </c>
      <c r="I548" s="1" t="n">
        <v>202100</v>
      </c>
      <c r="J548" s="1" t="n">
        <v>50000</v>
      </c>
    </row>
    <row r="549" customFormat="false" ht="14.25" hidden="false" customHeight="false" outlineLevel="0" collapsed="false">
      <c r="A549" s="1" t="n">
        <v>50</v>
      </c>
      <c r="C549" s="1" t="s">
        <v>366</v>
      </c>
      <c r="I549" s="1" t="n">
        <v>202100</v>
      </c>
      <c r="J549" s="1" t="n">
        <v>28000</v>
      </c>
    </row>
    <row r="550" customFormat="false" ht="14.25" hidden="false" customHeight="false" outlineLevel="0" collapsed="false">
      <c r="A550" s="1" t="n">
        <v>50</v>
      </c>
      <c r="C550" s="1" t="s">
        <v>368</v>
      </c>
      <c r="I550" s="1" t="n">
        <v>202100</v>
      </c>
      <c r="J550" s="1" t="n">
        <v>264000</v>
      </c>
    </row>
    <row r="551" customFormat="false" ht="14.25" hidden="false" customHeight="false" outlineLevel="0" collapsed="false">
      <c r="A551" s="1" t="n">
        <v>50</v>
      </c>
      <c r="C551" s="1" t="s">
        <v>373</v>
      </c>
      <c r="I551" s="1" t="n">
        <v>202100</v>
      </c>
      <c r="J551" s="1" t="n">
        <v>1000</v>
      </c>
    </row>
    <row r="552" customFormat="false" ht="14.25" hidden="false" customHeight="false" outlineLevel="0" collapsed="false">
      <c r="A552" s="1" t="n">
        <v>50</v>
      </c>
      <c r="C552" s="1" t="s">
        <v>375</v>
      </c>
      <c r="I552" s="1" t="n">
        <v>202100</v>
      </c>
      <c r="J552" s="1" t="n">
        <v>3000</v>
      </c>
    </row>
    <row r="553" customFormat="false" ht="14.25" hidden="false" customHeight="false" outlineLevel="0" collapsed="false">
      <c r="A553" s="1" t="n">
        <v>50</v>
      </c>
      <c r="C553" s="1" t="s">
        <v>379</v>
      </c>
      <c r="I553" s="1" t="n">
        <v>202100</v>
      </c>
      <c r="J553" s="1" t="n">
        <v>19000</v>
      </c>
    </row>
    <row r="554" customFormat="false" ht="14.25" hidden="false" customHeight="false" outlineLevel="0" collapsed="false">
      <c r="A554" s="1" t="n">
        <v>50</v>
      </c>
      <c r="C554" s="1" t="s">
        <v>380</v>
      </c>
      <c r="I554" s="1" t="n">
        <v>202100</v>
      </c>
      <c r="J554" s="1" t="n">
        <v>448000</v>
      </c>
    </row>
    <row r="555" customFormat="false" ht="14.25" hidden="false" customHeight="false" outlineLevel="0" collapsed="false">
      <c r="A555" s="1" t="n">
        <v>50</v>
      </c>
      <c r="C555" s="1" t="s">
        <v>384</v>
      </c>
      <c r="I555" s="1" t="n">
        <v>202100</v>
      </c>
      <c r="J555" s="1" t="n">
        <v>14607</v>
      </c>
    </row>
    <row r="556" customFormat="false" ht="14.25" hidden="false" customHeight="false" outlineLevel="0" collapsed="false">
      <c r="A556" s="1" t="n">
        <v>50</v>
      </c>
      <c r="C556" s="1" t="s">
        <v>385</v>
      </c>
      <c r="I556" s="1" t="n">
        <v>202100</v>
      </c>
      <c r="J556" s="1" t="n">
        <v>82771</v>
      </c>
    </row>
    <row r="557" customFormat="false" ht="14.25" hidden="false" customHeight="false" outlineLevel="0" collapsed="false">
      <c r="A557" s="1" t="n">
        <v>50</v>
      </c>
      <c r="C557" s="1" t="s">
        <v>386</v>
      </c>
      <c r="I557" s="1" t="n">
        <v>202100</v>
      </c>
      <c r="J557" s="1" t="n">
        <v>24882</v>
      </c>
    </row>
    <row r="558" customFormat="false" ht="14.25" hidden="false" customHeight="false" outlineLevel="0" collapsed="false">
      <c r="A558" s="1" t="n">
        <v>50</v>
      </c>
      <c r="C558" s="1" t="s">
        <v>387</v>
      </c>
      <c r="I558" s="1" t="n">
        <v>202100</v>
      </c>
      <c r="J558" s="1" t="n">
        <v>141000</v>
      </c>
    </row>
    <row r="559" customFormat="false" ht="14.25" hidden="false" customHeight="false" outlineLevel="0" collapsed="false">
      <c r="A559" s="1" t="n">
        <v>50</v>
      </c>
      <c r="C559" s="1" t="s">
        <v>388</v>
      </c>
      <c r="I559" s="1" t="n">
        <v>202100</v>
      </c>
      <c r="J559" s="1" t="n">
        <v>24882</v>
      </c>
    </row>
    <row r="560" customFormat="false" ht="14.25" hidden="false" customHeight="false" outlineLevel="0" collapsed="false">
      <c r="A560" s="1" t="n">
        <v>50</v>
      </c>
      <c r="C560" s="1" t="s">
        <v>389</v>
      </c>
      <c r="I560" s="1" t="n">
        <v>202100</v>
      </c>
      <c r="J560" s="1" t="n">
        <v>140998</v>
      </c>
    </row>
    <row r="561" customFormat="false" ht="14.25" hidden="false" customHeight="false" outlineLevel="0" collapsed="false">
      <c r="A561" s="1" t="n">
        <v>50</v>
      </c>
      <c r="C561" s="1" t="s">
        <v>390</v>
      </c>
      <c r="I561" s="1" t="n">
        <v>202100</v>
      </c>
      <c r="J561" s="1" t="n">
        <v>6221</v>
      </c>
    </row>
    <row r="562" customFormat="false" ht="14.25" hidden="false" customHeight="false" outlineLevel="0" collapsed="false">
      <c r="A562" s="1" t="n">
        <v>50</v>
      </c>
      <c r="C562" s="1" t="s">
        <v>391</v>
      </c>
      <c r="I562" s="1" t="n">
        <v>202100</v>
      </c>
      <c r="J562" s="1" t="n">
        <v>35250</v>
      </c>
    </row>
    <row r="563" customFormat="false" ht="14.25" hidden="false" customHeight="false" outlineLevel="0" collapsed="false">
      <c r="A563" s="1" t="n">
        <v>50</v>
      </c>
      <c r="C563" s="1" t="s">
        <v>392</v>
      </c>
      <c r="I563" s="1" t="n">
        <v>202100</v>
      </c>
      <c r="J563" s="1" t="n">
        <v>6000</v>
      </c>
    </row>
    <row r="564" customFormat="false" ht="14.25" hidden="false" customHeight="false" outlineLevel="0" collapsed="false">
      <c r="A564" s="1" t="n">
        <v>50</v>
      </c>
      <c r="C564" s="1" t="s">
        <v>393</v>
      </c>
      <c r="I564" s="1" t="n">
        <v>202100</v>
      </c>
      <c r="J564" s="1" t="n">
        <v>50000</v>
      </c>
    </row>
    <row r="565" customFormat="false" ht="14.25" hidden="false" customHeight="false" outlineLevel="0" collapsed="false">
      <c r="A565" s="1" t="n">
        <v>50</v>
      </c>
      <c r="C565" s="1" t="s">
        <v>394</v>
      </c>
      <c r="I565" s="1" t="n">
        <v>202100</v>
      </c>
      <c r="J565" s="1" t="n">
        <v>37000</v>
      </c>
    </row>
    <row r="566" customFormat="false" ht="14.25" hidden="false" customHeight="false" outlineLevel="0" collapsed="false">
      <c r="A566" s="1" t="n">
        <v>50</v>
      </c>
      <c r="C566" s="1" t="s">
        <v>396</v>
      </c>
      <c r="I566" s="1" t="n">
        <v>202100</v>
      </c>
      <c r="J566" s="1" t="n">
        <v>36000</v>
      </c>
    </row>
    <row r="567" customFormat="false" ht="14.25" hidden="false" customHeight="false" outlineLevel="0" collapsed="false">
      <c r="A567" s="1" t="n">
        <v>50</v>
      </c>
      <c r="C567" s="1" t="s">
        <v>397</v>
      </c>
      <c r="I567" s="1" t="n">
        <v>202100</v>
      </c>
      <c r="J567" s="1" t="n">
        <v>358000</v>
      </c>
    </row>
    <row r="568" customFormat="false" ht="14.25" hidden="false" customHeight="false" outlineLevel="0" collapsed="false">
      <c r="A568" s="1" t="n">
        <v>50</v>
      </c>
      <c r="C568" s="1" t="s">
        <v>403</v>
      </c>
      <c r="I568" s="1" t="n">
        <v>202100</v>
      </c>
      <c r="J568" s="1" t="n">
        <v>350000</v>
      </c>
    </row>
    <row r="569" customFormat="false" ht="14.25" hidden="false" customHeight="false" outlineLevel="0" collapsed="false">
      <c r="A569" s="1" t="n">
        <v>50</v>
      </c>
      <c r="C569" s="1" t="s">
        <v>407</v>
      </c>
      <c r="I569" s="1" t="n">
        <v>202100</v>
      </c>
      <c r="J569" s="1" t="n">
        <v>200000</v>
      </c>
    </row>
    <row r="570" customFormat="false" ht="14.25" hidden="false" customHeight="false" outlineLevel="0" collapsed="false">
      <c r="A570" s="1" t="n">
        <v>50</v>
      </c>
      <c r="C570" s="1" t="s">
        <v>408</v>
      </c>
      <c r="I570" s="1" t="n">
        <v>202100</v>
      </c>
      <c r="J570" s="1" t="n">
        <v>100000</v>
      </c>
    </row>
    <row r="571" customFormat="false" ht="14.25" hidden="false" customHeight="false" outlineLevel="0" collapsed="false">
      <c r="A571" s="1" t="n">
        <v>50</v>
      </c>
      <c r="C571" s="1" t="s">
        <v>409</v>
      </c>
      <c r="I571" s="1" t="n">
        <v>202100</v>
      </c>
      <c r="J571" s="1" t="n">
        <v>80000</v>
      </c>
    </row>
    <row r="572" customFormat="false" ht="14.25" hidden="false" customHeight="false" outlineLevel="0" collapsed="false">
      <c r="A572" s="1" t="n">
        <v>50</v>
      </c>
      <c r="C572" s="1" t="s">
        <v>411</v>
      </c>
      <c r="I572" s="1" t="n">
        <v>202100</v>
      </c>
      <c r="J572" s="1" t="n">
        <v>300000</v>
      </c>
    </row>
    <row r="573" customFormat="false" ht="14.25" hidden="false" customHeight="false" outlineLevel="0" collapsed="false">
      <c r="A573" s="1" t="n">
        <v>50</v>
      </c>
      <c r="C573" s="1" t="s">
        <v>412</v>
      </c>
      <c r="I573" s="1" t="n">
        <v>202100</v>
      </c>
      <c r="J573" s="1" t="n">
        <v>150000</v>
      </c>
    </row>
    <row r="574" customFormat="false" ht="14.25" hidden="false" customHeight="false" outlineLevel="0" collapsed="false">
      <c r="A574" s="1" t="n">
        <v>50</v>
      </c>
      <c r="C574" s="1" t="s">
        <v>413</v>
      </c>
      <c r="I574" s="1" t="n">
        <v>202100</v>
      </c>
      <c r="J574" s="1" t="n">
        <v>33000</v>
      </c>
    </row>
    <row r="575" customFormat="false" ht="14.25" hidden="false" customHeight="false" outlineLevel="0" collapsed="false">
      <c r="A575" s="1" t="n">
        <v>50</v>
      </c>
      <c r="C575" s="1" t="s">
        <v>414</v>
      </c>
      <c r="I575" s="1" t="n">
        <v>202100</v>
      </c>
      <c r="J575" s="1" t="n">
        <v>117000</v>
      </c>
    </row>
    <row r="576" customFormat="false" ht="14.25" hidden="false" customHeight="false" outlineLevel="0" collapsed="false">
      <c r="A576" s="1" t="n">
        <v>50</v>
      </c>
      <c r="C576" s="1" t="s">
        <v>416</v>
      </c>
      <c r="I576" s="1" t="n">
        <v>202100</v>
      </c>
      <c r="J576" s="1" t="n">
        <v>49000</v>
      </c>
    </row>
    <row r="577" customFormat="false" ht="14.25" hidden="false" customHeight="false" outlineLevel="0" collapsed="false">
      <c r="A577" s="1" t="n">
        <v>50</v>
      </c>
      <c r="C577" s="1" t="s">
        <v>417</v>
      </c>
      <c r="I577" s="1" t="n">
        <v>202100</v>
      </c>
      <c r="J577" s="1" t="n">
        <v>173000</v>
      </c>
    </row>
    <row r="578" customFormat="false" ht="14.25" hidden="false" customHeight="false" outlineLevel="0" collapsed="false">
      <c r="A578" s="1" t="n">
        <v>50</v>
      </c>
      <c r="C578" s="1" t="s">
        <v>418</v>
      </c>
      <c r="I578" s="1" t="n">
        <v>202100</v>
      </c>
      <c r="J578" s="1" t="n">
        <v>25000</v>
      </c>
    </row>
    <row r="579" customFormat="false" ht="14.25" hidden="false" customHeight="false" outlineLevel="0" collapsed="false">
      <c r="A579" s="1" t="n">
        <v>50</v>
      </c>
      <c r="C579" s="1" t="s">
        <v>419</v>
      </c>
      <c r="I579" s="1" t="n">
        <v>202100</v>
      </c>
      <c r="J579" s="1" t="n">
        <v>89000</v>
      </c>
    </row>
    <row r="580" customFormat="false" ht="14.25" hidden="false" customHeight="false" outlineLevel="0" collapsed="false">
      <c r="A580" s="1" t="n">
        <v>50</v>
      </c>
      <c r="C580" s="1" t="s">
        <v>420</v>
      </c>
      <c r="I580" s="1" t="n">
        <v>202100</v>
      </c>
      <c r="J580" s="1" t="n">
        <v>4000</v>
      </c>
    </row>
    <row r="581" customFormat="false" ht="14.25" hidden="false" customHeight="false" outlineLevel="0" collapsed="false">
      <c r="A581" s="1" t="n">
        <v>50</v>
      </c>
      <c r="C581" s="1" t="s">
        <v>421</v>
      </c>
      <c r="I581" s="1" t="n">
        <v>202100</v>
      </c>
      <c r="J581" s="1" t="n">
        <v>85000</v>
      </c>
    </row>
    <row r="582" customFormat="false" ht="14.25" hidden="false" customHeight="false" outlineLevel="0" collapsed="false">
      <c r="A582" s="1" t="n">
        <v>50</v>
      </c>
      <c r="C582" s="1" t="s">
        <v>422</v>
      </c>
      <c r="I582" s="1" t="n">
        <v>202100</v>
      </c>
      <c r="J582" s="1" t="n">
        <v>3000</v>
      </c>
    </row>
    <row r="583" customFormat="false" ht="14.25" hidden="false" customHeight="false" outlineLevel="0" collapsed="false">
      <c r="A583" s="1" t="n">
        <v>50</v>
      </c>
      <c r="C583" s="1" t="s">
        <v>423</v>
      </c>
      <c r="I583" s="1" t="n">
        <v>202100</v>
      </c>
      <c r="J583" s="1" t="n">
        <v>60000</v>
      </c>
    </row>
    <row r="584" customFormat="false" ht="14.25" hidden="false" customHeight="false" outlineLevel="0" collapsed="false">
      <c r="A584" s="1" t="n">
        <v>50</v>
      </c>
      <c r="C584" s="1" t="s">
        <v>424</v>
      </c>
      <c r="I584" s="1" t="n">
        <v>202100</v>
      </c>
      <c r="J584" s="1" t="n">
        <v>38000</v>
      </c>
    </row>
    <row r="585" customFormat="false" ht="14.25" hidden="false" customHeight="false" outlineLevel="0" collapsed="false">
      <c r="A585" s="1" t="n">
        <v>50</v>
      </c>
      <c r="C585" s="1" t="s">
        <v>425</v>
      </c>
      <c r="I585" s="1" t="n">
        <v>202100</v>
      </c>
      <c r="J585" s="1" t="n">
        <v>713000</v>
      </c>
    </row>
    <row r="586" customFormat="false" ht="14.25" hidden="false" customHeight="false" outlineLevel="0" collapsed="false">
      <c r="A586" s="1" t="n">
        <v>50</v>
      </c>
      <c r="C586" s="1" t="s">
        <v>426</v>
      </c>
      <c r="I586" s="1" t="n">
        <v>202100</v>
      </c>
      <c r="J586" s="1" t="n">
        <v>19000</v>
      </c>
    </row>
    <row r="587" customFormat="false" ht="14.25" hidden="false" customHeight="false" outlineLevel="0" collapsed="false">
      <c r="A587" s="1" t="n">
        <v>50</v>
      </c>
      <c r="C587" s="1" t="s">
        <v>427</v>
      </c>
      <c r="I587" s="1" t="n">
        <v>202100</v>
      </c>
      <c r="J587" s="1" t="n">
        <v>330000</v>
      </c>
    </row>
    <row r="588" customFormat="false" ht="14.25" hidden="false" customHeight="false" outlineLevel="0" collapsed="false">
      <c r="A588" s="1" t="n">
        <v>50</v>
      </c>
      <c r="C588" s="1" t="s">
        <v>428</v>
      </c>
      <c r="I588" s="1" t="n">
        <v>202100</v>
      </c>
      <c r="J588" s="1" t="n">
        <v>25000</v>
      </c>
    </row>
    <row r="589" customFormat="false" ht="14.25" hidden="false" customHeight="false" outlineLevel="0" collapsed="false">
      <c r="A589" s="1" t="n">
        <v>50</v>
      </c>
      <c r="C589" s="1" t="s">
        <v>429</v>
      </c>
      <c r="I589" s="1" t="n">
        <v>202100</v>
      </c>
      <c r="J589" s="1" t="n">
        <v>478000</v>
      </c>
    </row>
    <row r="590" customFormat="false" ht="14.25" hidden="false" customHeight="false" outlineLevel="0" collapsed="false">
      <c r="A590" s="1" t="n">
        <v>50</v>
      </c>
      <c r="C590" s="1" t="s">
        <v>430</v>
      </c>
      <c r="I590" s="1" t="n">
        <v>202100</v>
      </c>
      <c r="J590" s="1" t="n">
        <v>5000</v>
      </c>
    </row>
    <row r="591" customFormat="false" ht="14.25" hidden="false" customHeight="false" outlineLevel="0" collapsed="false">
      <c r="A591" s="1" t="n">
        <v>50</v>
      </c>
      <c r="C591" s="1" t="s">
        <v>434</v>
      </c>
      <c r="I591" s="1" t="n">
        <v>202100</v>
      </c>
      <c r="J591" s="1" t="n">
        <v>130000</v>
      </c>
    </row>
    <row r="592" customFormat="false" ht="14.25" hidden="false" customHeight="false" outlineLevel="0" collapsed="false">
      <c r="A592" s="1" t="n">
        <v>50</v>
      </c>
      <c r="C592" s="1" t="s">
        <v>443</v>
      </c>
      <c r="I592" s="1" t="n">
        <v>202100</v>
      </c>
      <c r="J592" s="1" t="n">
        <v>144000</v>
      </c>
    </row>
    <row r="593" customFormat="false" ht="14.25" hidden="false" customHeight="false" outlineLevel="0" collapsed="false">
      <c r="A593" s="1" t="n">
        <v>50</v>
      </c>
      <c r="C593" s="1" t="s">
        <v>444</v>
      </c>
      <c r="I593" s="1" t="n">
        <v>202100</v>
      </c>
      <c r="J593" s="1" t="n">
        <v>144000</v>
      </c>
    </row>
    <row r="594" customFormat="false" ht="14.25" hidden="false" customHeight="false" outlineLevel="0" collapsed="false">
      <c r="A594" s="1" t="n">
        <v>50</v>
      </c>
      <c r="C594" s="1" t="s">
        <v>447</v>
      </c>
      <c r="I594" s="1" t="n">
        <v>202100</v>
      </c>
      <c r="J594" s="1" t="n">
        <v>481000</v>
      </c>
    </row>
    <row r="595" customFormat="false" ht="14.25" hidden="false" customHeight="false" outlineLevel="0" collapsed="false">
      <c r="A595" s="1" t="n">
        <v>50</v>
      </c>
      <c r="C595" s="1" t="s">
        <v>448</v>
      </c>
      <c r="I595" s="1" t="n">
        <v>202100</v>
      </c>
      <c r="J595" s="1" t="n">
        <v>481000</v>
      </c>
    </row>
    <row r="596" customFormat="false" ht="14.25" hidden="false" customHeight="false" outlineLevel="0" collapsed="false">
      <c r="A596" s="1" t="n">
        <v>50</v>
      </c>
      <c r="C596" s="1" t="s">
        <v>449</v>
      </c>
      <c r="I596" s="1" t="n">
        <v>202100</v>
      </c>
      <c r="J596" s="1" t="n">
        <v>240000</v>
      </c>
    </row>
    <row r="597" customFormat="false" ht="14.25" hidden="false" customHeight="false" outlineLevel="0" collapsed="false">
      <c r="A597" s="1" t="n">
        <v>50</v>
      </c>
      <c r="C597" s="1" t="s">
        <v>450</v>
      </c>
      <c r="I597" s="1" t="n">
        <v>202100</v>
      </c>
      <c r="J597" s="1" t="n">
        <v>240000</v>
      </c>
    </row>
    <row r="598" customFormat="false" ht="14.25" hidden="false" customHeight="false" outlineLevel="0" collapsed="false">
      <c r="A598" s="1" t="n">
        <v>50</v>
      </c>
      <c r="C598" s="1" t="s">
        <v>451</v>
      </c>
      <c r="I598" s="1" t="n">
        <v>202100</v>
      </c>
      <c r="J598" s="1" t="n">
        <v>51480</v>
      </c>
    </row>
    <row r="599" customFormat="false" ht="14.25" hidden="false" customHeight="false" outlineLevel="0" collapsed="false">
      <c r="A599" s="1" t="n">
        <v>50</v>
      </c>
      <c r="C599" s="1" t="s">
        <v>452</v>
      </c>
      <c r="I599" s="1" t="n">
        <v>202100</v>
      </c>
      <c r="J599" s="1" t="n">
        <v>171600</v>
      </c>
    </row>
    <row r="600" customFormat="false" ht="14.25" hidden="false" customHeight="false" outlineLevel="0" collapsed="false">
      <c r="A600" s="1" t="n">
        <v>50</v>
      </c>
      <c r="C600" s="1" t="s">
        <v>453</v>
      </c>
      <c r="I600" s="1" t="n">
        <v>202100</v>
      </c>
      <c r="J600" s="1" t="n">
        <v>14300</v>
      </c>
    </row>
    <row r="601" customFormat="false" ht="14.25" hidden="false" customHeight="false" outlineLevel="0" collapsed="false">
      <c r="A601" s="1" t="n">
        <v>50</v>
      </c>
      <c r="C601" s="1" t="s">
        <v>454</v>
      </c>
      <c r="I601" s="1" t="n">
        <v>202100</v>
      </c>
      <c r="J601" s="1" t="n">
        <v>137280</v>
      </c>
    </row>
    <row r="602" customFormat="false" ht="14.25" hidden="false" customHeight="false" outlineLevel="0" collapsed="false">
      <c r="A602" s="1" t="n">
        <v>50</v>
      </c>
      <c r="C602" s="1" t="s">
        <v>455</v>
      </c>
      <c r="I602" s="1" t="n">
        <v>202100</v>
      </c>
      <c r="J602" s="1" t="n">
        <v>28600</v>
      </c>
    </row>
    <row r="603" customFormat="false" ht="14.25" hidden="false" customHeight="false" outlineLevel="0" collapsed="false">
      <c r="A603" s="1" t="n">
        <v>50</v>
      </c>
      <c r="C603" s="1" t="s">
        <v>456</v>
      </c>
      <c r="I603" s="1" t="n">
        <v>202100</v>
      </c>
      <c r="J603" s="1" t="n">
        <v>286000</v>
      </c>
    </row>
    <row r="604" customFormat="false" ht="14.25" hidden="false" customHeight="false" outlineLevel="0" collapsed="false">
      <c r="A604" s="1" t="n">
        <v>50</v>
      </c>
      <c r="C604" s="1" t="s">
        <v>457</v>
      </c>
      <c r="I604" s="1" t="n">
        <v>202100</v>
      </c>
      <c r="J604" s="1" t="n">
        <v>17160</v>
      </c>
    </row>
    <row r="605" customFormat="false" ht="14.25" hidden="false" customHeight="false" outlineLevel="0" collapsed="false">
      <c r="A605" s="1" t="n">
        <v>50</v>
      </c>
      <c r="C605" s="1" t="s">
        <v>458</v>
      </c>
      <c r="I605" s="1" t="n">
        <v>202100</v>
      </c>
      <c r="J605" s="1" t="n">
        <v>205920</v>
      </c>
    </row>
    <row r="606" customFormat="false" ht="14.25" hidden="false" customHeight="false" outlineLevel="0" collapsed="false">
      <c r="A606" s="1" t="n">
        <v>50</v>
      </c>
      <c r="C606" s="1" t="s">
        <v>459</v>
      </c>
      <c r="I606" s="1" t="n">
        <v>202100</v>
      </c>
      <c r="J606" s="1" t="n">
        <v>23292</v>
      </c>
    </row>
    <row r="607" customFormat="false" ht="14.25" hidden="false" customHeight="false" outlineLevel="0" collapsed="false">
      <c r="A607" s="1" t="n">
        <v>50</v>
      </c>
      <c r="C607" s="1" t="s">
        <v>460</v>
      </c>
      <c r="I607" s="1" t="n">
        <v>202100</v>
      </c>
      <c r="J607" s="1" t="n">
        <v>54348</v>
      </c>
    </row>
    <row r="608" customFormat="false" ht="14.25" hidden="false" customHeight="false" outlineLevel="0" collapsed="false">
      <c r="A608" s="1" t="n">
        <v>50</v>
      </c>
      <c r="C608" s="1" t="s">
        <v>461</v>
      </c>
      <c r="I608" s="1" t="n">
        <v>202100</v>
      </c>
      <c r="J608" s="1" t="n">
        <v>223500</v>
      </c>
    </row>
    <row r="609" customFormat="false" ht="14.25" hidden="false" customHeight="false" outlineLevel="0" collapsed="false">
      <c r="A609" s="1" t="n">
        <v>50</v>
      </c>
      <c r="C609" s="1" t="s">
        <v>462</v>
      </c>
      <c r="I609" s="1" t="n">
        <v>202100</v>
      </c>
      <c r="J609" s="1" t="n">
        <v>52738</v>
      </c>
    </row>
    <row r="610" customFormat="false" ht="14.25" hidden="false" customHeight="false" outlineLevel="0" collapsed="false">
      <c r="A610" s="1" t="n">
        <v>50</v>
      </c>
      <c r="C610" s="1" t="s">
        <v>463</v>
      </c>
      <c r="I610" s="1" t="n">
        <v>202100</v>
      </c>
      <c r="J610" s="1" t="n">
        <v>80000</v>
      </c>
    </row>
    <row r="611" customFormat="false" ht="14.25" hidden="false" customHeight="false" outlineLevel="0" collapsed="false">
      <c r="A611" s="1" t="n">
        <v>50</v>
      </c>
      <c r="C611" s="1" t="s">
        <v>464</v>
      </c>
      <c r="I611" s="1" t="n">
        <v>202100</v>
      </c>
      <c r="J611" s="1" t="n">
        <v>543488</v>
      </c>
    </row>
    <row r="612" customFormat="false" ht="14.25" hidden="false" customHeight="false" outlineLevel="0" collapsed="false">
      <c r="A612" s="1" t="n">
        <v>50</v>
      </c>
      <c r="C612" s="1" t="s">
        <v>465</v>
      </c>
      <c r="I612" s="1" t="n">
        <v>202100</v>
      </c>
      <c r="J612" s="1" t="n">
        <v>15528</v>
      </c>
    </row>
    <row r="613" customFormat="false" ht="14.25" hidden="false" customHeight="false" outlineLevel="0" collapsed="false">
      <c r="A613" s="1" t="n">
        <v>50</v>
      </c>
      <c r="C613" s="1" t="s">
        <v>466</v>
      </c>
      <c r="I613" s="1" t="n">
        <v>202100</v>
      </c>
      <c r="J613" s="1" t="n">
        <v>62111</v>
      </c>
    </row>
    <row r="614" customFormat="false" ht="14.25" hidden="false" customHeight="false" outlineLevel="0" collapsed="false">
      <c r="A614" s="1" t="n">
        <v>50</v>
      </c>
      <c r="C614" s="1" t="s">
        <v>479</v>
      </c>
      <c r="I614" s="1" t="n">
        <v>202100</v>
      </c>
      <c r="J614" s="1" t="n">
        <v>210000</v>
      </c>
    </row>
    <row r="615" customFormat="false" ht="14.25" hidden="false" customHeight="false" outlineLevel="0" collapsed="false">
      <c r="A615" s="1" t="n">
        <v>50</v>
      </c>
      <c r="C615" s="1" t="s">
        <v>480</v>
      </c>
      <c r="I615" s="1" t="n">
        <v>202100</v>
      </c>
      <c r="J615" s="1" t="n">
        <v>490000</v>
      </c>
    </row>
    <row r="616" customFormat="false" ht="14.25" hidden="false" customHeight="false" outlineLevel="0" collapsed="false">
      <c r="A616" s="1" t="n">
        <v>50</v>
      </c>
      <c r="C616" s="1" t="s">
        <v>483</v>
      </c>
      <c r="I616" s="1" t="n">
        <v>202100</v>
      </c>
      <c r="J616" s="1" t="n">
        <v>1000</v>
      </c>
    </row>
    <row r="617" customFormat="false" ht="14.25" hidden="false" customHeight="false" outlineLevel="0" collapsed="false">
      <c r="A617" s="1" t="n">
        <v>50</v>
      </c>
      <c r="C617" s="1" t="s">
        <v>484</v>
      </c>
      <c r="I617" s="1" t="n">
        <v>202100</v>
      </c>
      <c r="J617" s="1" t="n">
        <v>15000</v>
      </c>
    </row>
    <row r="618" customFormat="false" ht="14.25" hidden="false" customHeight="false" outlineLevel="0" collapsed="false">
      <c r="A618" s="1" t="n">
        <v>50</v>
      </c>
      <c r="C618" s="1" t="s">
        <v>492</v>
      </c>
      <c r="I618" s="1" t="n">
        <v>202100</v>
      </c>
      <c r="J618" s="1" t="n">
        <v>1000</v>
      </c>
    </row>
    <row r="619" customFormat="false" ht="14.25" hidden="false" customHeight="false" outlineLevel="0" collapsed="false">
      <c r="A619" s="1" t="n">
        <v>50</v>
      </c>
      <c r="C619" s="1" t="s">
        <v>497</v>
      </c>
      <c r="I619" s="1" t="n">
        <v>202100</v>
      </c>
      <c r="J619" s="1" t="n">
        <v>20000</v>
      </c>
    </row>
    <row r="620" customFormat="false" ht="14.25" hidden="false" customHeight="false" outlineLevel="0" collapsed="false">
      <c r="A620" s="1" t="n">
        <v>50</v>
      </c>
      <c r="C620" s="1" t="s">
        <v>499</v>
      </c>
      <c r="I620" s="1" t="n">
        <v>202100</v>
      </c>
      <c r="J620" s="1" t="n">
        <v>130000</v>
      </c>
    </row>
    <row r="621" customFormat="false" ht="14.25" hidden="false" customHeight="false" outlineLevel="0" collapsed="false">
      <c r="A621" s="1" t="n">
        <v>50</v>
      </c>
      <c r="C621" s="1" t="s">
        <v>500</v>
      </c>
      <c r="I621" s="1" t="n">
        <v>202100</v>
      </c>
      <c r="J621" s="1" t="n">
        <v>200000</v>
      </c>
    </row>
    <row r="622" customFormat="false" ht="14.25" hidden="false" customHeight="false" outlineLevel="0" collapsed="false">
      <c r="A622" s="1" t="n">
        <v>50</v>
      </c>
      <c r="C622" s="1" t="s">
        <v>501</v>
      </c>
      <c r="I622" s="1" t="n">
        <v>202100</v>
      </c>
      <c r="J622" s="1" t="n">
        <v>730000</v>
      </c>
    </row>
    <row r="623" customFormat="false" ht="14.25" hidden="false" customHeight="false" outlineLevel="0" collapsed="false">
      <c r="A623" s="1" t="n">
        <v>50</v>
      </c>
      <c r="C623" s="1" t="s">
        <v>509</v>
      </c>
      <c r="I623" s="1" t="n">
        <v>202100</v>
      </c>
      <c r="J623" s="1" t="n">
        <v>100000</v>
      </c>
    </row>
    <row r="624" customFormat="false" ht="14.25" hidden="false" customHeight="false" outlineLevel="0" collapsed="false">
      <c r="A624" s="1" t="n">
        <v>50</v>
      </c>
      <c r="C624" s="1" t="s">
        <v>512</v>
      </c>
      <c r="I624" s="1" t="n">
        <v>202100</v>
      </c>
      <c r="J624" s="1" t="n">
        <v>10000</v>
      </c>
    </row>
    <row r="625" customFormat="false" ht="14.25" hidden="false" customHeight="false" outlineLevel="0" collapsed="false">
      <c r="A625" s="1" t="n">
        <v>50</v>
      </c>
      <c r="C625" s="1" t="s">
        <v>514</v>
      </c>
      <c r="I625" s="1" t="n">
        <v>202100</v>
      </c>
      <c r="J625" s="1" t="n">
        <v>122501.6</v>
      </c>
    </row>
    <row r="626" customFormat="false" ht="14.25" hidden="false" customHeight="false" outlineLevel="0" collapsed="false">
      <c r="A626" s="1" t="n">
        <v>50</v>
      </c>
      <c r="C626" s="1" t="s">
        <v>516</v>
      </c>
      <c r="I626" s="1" t="n">
        <v>202100</v>
      </c>
      <c r="J626" s="1" t="n">
        <v>60000</v>
      </c>
    </row>
    <row r="627" customFormat="false" ht="14.25" hidden="false" customHeight="false" outlineLevel="0" collapsed="false">
      <c r="A627" s="1" t="n">
        <v>50</v>
      </c>
      <c r="C627" s="1" t="s">
        <v>519</v>
      </c>
      <c r="I627" s="1" t="n">
        <v>202100</v>
      </c>
      <c r="J627" s="1" t="n">
        <v>550000</v>
      </c>
    </row>
    <row r="628" customFormat="false" ht="14.25" hidden="false" customHeight="false" outlineLevel="0" collapsed="false">
      <c r="A628" s="1" t="n">
        <v>50</v>
      </c>
      <c r="C628" s="1" t="s">
        <v>520</v>
      </c>
      <c r="I628" s="1" t="n">
        <v>202100</v>
      </c>
      <c r="J628" s="1" t="n">
        <v>2133000</v>
      </c>
    </row>
    <row r="629" customFormat="false" ht="14.25" hidden="false" customHeight="false" outlineLevel="0" collapsed="false">
      <c r="A629" s="1" t="n">
        <v>50</v>
      </c>
      <c r="C629" s="1" t="s">
        <v>521</v>
      </c>
      <c r="I629" s="1" t="n">
        <v>202100</v>
      </c>
      <c r="J629" s="1" t="n">
        <v>64000</v>
      </c>
    </row>
    <row r="630" customFormat="false" ht="14.25" hidden="false" customHeight="false" outlineLevel="0" collapsed="false">
      <c r="A630" s="1" t="n">
        <v>50</v>
      </c>
      <c r="C630" s="1" t="s">
        <v>522</v>
      </c>
      <c r="I630" s="1" t="n">
        <v>202100</v>
      </c>
      <c r="J630" s="1" t="n">
        <v>18000</v>
      </c>
    </row>
    <row r="631" customFormat="false" ht="14.25" hidden="false" customHeight="false" outlineLevel="0" collapsed="false">
      <c r="A631" s="1" t="n">
        <v>50</v>
      </c>
      <c r="C631" s="1" t="s">
        <v>531</v>
      </c>
      <c r="I631" s="1" t="n">
        <v>202100</v>
      </c>
      <c r="J631" s="1" t="n">
        <v>110822.78</v>
      </c>
    </row>
    <row r="632" customFormat="false" ht="14.25" hidden="false" customHeight="false" outlineLevel="0" collapsed="false">
      <c r="A632" s="1" t="n">
        <v>50</v>
      </c>
      <c r="C632" s="1" t="s">
        <v>532</v>
      </c>
      <c r="I632" s="1" t="n">
        <v>202100</v>
      </c>
      <c r="J632" s="1" t="n">
        <v>76723.46</v>
      </c>
    </row>
    <row r="633" customFormat="false" ht="14.25" hidden="false" customHeight="false" outlineLevel="0" collapsed="false">
      <c r="A633" s="1" t="n">
        <v>50</v>
      </c>
      <c r="C633" s="1" t="s">
        <v>534</v>
      </c>
      <c r="I633" s="1" t="n">
        <v>202100</v>
      </c>
      <c r="J633" s="1" t="n">
        <v>46284.88</v>
      </c>
    </row>
    <row r="634" customFormat="false" ht="14.25" hidden="false" customHeight="false" outlineLevel="0" collapsed="false">
      <c r="A634" s="1" t="n">
        <v>50</v>
      </c>
      <c r="C634" s="1" t="s">
        <v>535</v>
      </c>
      <c r="I634" s="1" t="n">
        <v>202100</v>
      </c>
      <c r="J634" s="1" t="n">
        <v>32060.1</v>
      </c>
    </row>
    <row r="635" customFormat="false" ht="14.25" hidden="false" customHeight="false" outlineLevel="0" collapsed="false">
      <c r="A635" s="1" t="n">
        <v>50</v>
      </c>
      <c r="C635" s="1" t="s">
        <v>536</v>
      </c>
      <c r="I635" s="1" t="n">
        <v>202100</v>
      </c>
      <c r="J635" s="1" t="n">
        <v>22195.45</v>
      </c>
    </row>
    <row r="636" customFormat="false" ht="14.25" hidden="false" customHeight="false" outlineLevel="0" collapsed="false">
      <c r="A636" s="1" t="n">
        <v>50</v>
      </c>
      <c r="C636" s="1" t="s">
        <v>537</v>
      </c>
      <c r="I636" s="1" t="n">
        <v>202100</v>
      </c>
      <c r="J636" s="1" t="n">
        <v>33531.62</v>
      </c>
    </row>
    <row r="637" customFormat="false" ht="14.25" hidden="false" customHeight="false" outlineLevel="0" collapsed="false">
      <c r="A637" s="1" t="n">
        <v>50</v>
      </c>
      <c r="C637" s="1" t="s">
        <v>538</v>
      </c>
      <c r="I637" s="1" t="n">
        <v>202100</v>
      </c>
      <c r="J637" s="1" t="n">
        <v>23214.2</v>
      </c>
    </row>
    <row r="638" customFormat="false" ht="14.25" hidden="false" customHeight="false" outlineLevel="0" collapsed="false">
      <c r="A638" s="1" t="n">
        <v>50</v>
      </c>
      <c r="C638" s="1" t="s">
        <v>539</v>
      </c>
      <c r="I638" s="1" t="n">
        <v>202100</v>
      </c>
      <c r="J638" s="1" t="n">
        <v>202849.61</v>
      </c>
    </row>
    <row r="639" customFormat="false" ht="14.25" hidden="false" customHeight="false" outlineLevel="0" collapsed="false">
      <c r="A639" s="1" t="n">
        <v>50</v>
      </c>
      <c r="C639" s="1" t="s">
        <v>540</v>
      </c>
      <c r="I639" s="1" t="n">
        <v>202100</v>
      </c>
      <c r="J639" s="1" t="n">
        <v>140434.34</v>
      </c>
    </row>
    <row r="640" customFormat="false" ht="14.25" hidden="false" customHeight="false" outlineLevel="0" collapsed="false">
      <c r="A640" s="1" t="n">
        <v>50</v>
      </c>
      <c r="C640" s="1" t="s">
        <v>541</v>
      </c>
      <c r="I640" s="1" t="n">
        <v>202100</v>
      </c>
      <c r="J640" s="1" t="n">
        <v>45499.45</v>
      </c>
    </row>
    <row r="641" customFormat="false" ht="14.25" hidden="false" customHeight="false" outlineLevel="0" collapsed="false">
      <c r="A641" s="1" t="n">
        <v>50</v>
      </c>
      <c r="C641" s="1" t="s">
        <v>542</v>
      </c>
      <c r="I641" s="1" t="n">
        <v>202100</v>
      </c>
      <c r="J641" s="1" t="n">
        <v>31499.62</v>
      </c>
    </row>
    <row r="642" customFormat="false" ht="14.25" hidden="false" customHeight="false" outlineLevel="0" collapsed="false">
      <c r="A642" s="1" t="n">
        <v>50</v>
      </c>
      <c r="C642" s="1" t="s">
        <v>543</v>
      </c>
      <c r="I642" s="1" t="n">
        <v>202100</v>
      </c>
      <c r="J642" s="1" t="n">
        <v>511489.73</v>
      </c>
    </row>
    <row r="643" customFormat="false" ht="14.25" hidden="false" customHeight="false" outlineLevel="0" collapsed="false">
      <c r="A643" s="1" t="n">
        <v>50</v>
      </c>
      <c r="C643" s="1" t="s">
        <v>544</v>
      </c>
      <c r="I643" s="1" t="n">
        <v>202100</v>
      </c>
      <c r="J643" s="1" t="n">
        <v>153446.92</v>
      </c>
    </row>
    <row r="644" customFormat="false" ht="14.25" hidden="false" customHeight="false" outlineLevel="0" collapsed="false">
      <c r="A644" s="1" t="n">
        <v>50</v>
      </c>
      <c r="C644" s="1" t="s">
        <v>545</v>
      </c>
      <c r="I644" s="1" t="n">
        <v>202100</v>
      </c>
      <c r="J644" s="1" t="n">
        <v>147969.68</v>
      </c>
    </row>
    <row r="645" customFormat="false" ht="14.25" hidden="false" customHeight="false" outlineLevel="0" collapsed="false">
      <c r="A645" s="1" t="n">
        <v>50</v>
      </c>
      <c r="C645" s="1" t="s">
        <v>546</v>
      </c>
      <c r="I645" s="1" t="n">
        <v>202100</v>
      </c>
      <c r="J645" s="1" t="n">
        <v>44390.9</v>
      </c>
    </row>
    <row r="646" customFormat="false" ht="14.25" hidden="false" customHeight="false" outlineLevel="0" collapsed="false">
      <c r="A646" s="1" t="n">
        <v>50</v>
      </c>
      <c r="C646" s="1" t="s">
        <v>547</v>
      </c>
      <c r="I646" s="1" t="n">
        <v>202100</v>
      </c>
      <c r="J646" s="1" t="n">
        <v>154761.32</v>
      </c>
    </row>
    <row r="647" customFormat="false" ht="14.25" hidden="false" customHeight="false" outlineLevel="0" collapsed="false">
      <c r="A647" s="1" t="n">
        <v>50</v>
      </c>
      <c r="C647" s="1" t="s">
        <v>548</v>
      </c>
      <c r="I647" s="1" t="n">
        <v>202100</v>
      </c>
      <c r="J647" s="1" t="n">
        <v>46428.39</v>
      </c>
    </row>
    <row r="648" customFormat="false" ht="14.25" hidden="false" customHeight="false" outlineLevel="0" collapsed="false">
      <c r="A648" s="1" t="n">
        <v>50</v>
      </c>
      <c r="C648" s="1" t="s">
        <v>549</v>
      </c>
      <c r="I648" s="1" t="n">
        <v>202100</v>
      </c>
      <c r="J648" s="1" t="n">
        <v>936228.95</v>
      </c>
    </row>
    <row r="649" customFormat="false" ht="14.25" hidden="false" customHeight="false" outlineLevel="0" collapsed="false">
      <c r="A649" s="1" t="n">
        <v>50</v>
      </c>
      <c r="C649" s="1" t="s">
        <v>550</v>
      </c>
      <c r="I649" s="1" t="n">
        <v>202100</v>
      </c>
      <c r="J649" s="1" t="n">
        <v>280868.68</v>
      </c>
    </row>
    <row r="650" customFormat="false" ht="14.25" hidden="false" customHeight="false" outlineLevel="0" collapsed="false">
      <c r="A650" s="1" t="n">
        <v>50</v>
      </c>
      <c r="C650" s="1" t="s">
        <v>551</v>
      </c>
      <c r="I650" s="1" t="n">
        <v>202100</v>
      </c>
      <c r="J650" s="1" t="n">
        <v>209997.47</v>
      </c>
    </row>
    <row r="651" customFormat="false" ht="14.25" hidden="false" customHeight="false" outlineLevel="0" collapsed="false">
      <c r="A651" s="1" t="n">
        <v>50</v>
      </c>
      <c r="C651" s="1" t="s">
        <v>552</v>
      </c>
      <c r="I651" s="1" t="n">
        <v>202100</v>
      </c>
      <c r="J651" s="1" t="n">
        <v>62999.24</v>
      </c>
    </row>
    <row r="652" customFormat="false" ht="14.25" hidden="false" customHeight="false" outlineLevel="0" collapsed="false">
      <c r="A652" s="1" t="n">
        <v>50</v>
      </c>
      <c r="C652" s="1" t="s">
        <v>561</v>
      </c>
      <c r="I652" s="1" t="n">
        <v>202100</v>
      </c>
      <c r="J652" s="1" t="n">
        <v>110000</v>
      </c>
    </row>
    <row r="653" customFormat="false" ht="14.25" hidden="false" customHeight="false" outlineLevel="0" collapsed="false">
      <c r="A653" s="1" t="n">
        <v>50</v>
      </c>
      <c r="C653" s="1" t="s">
        <v>562</v>
      </c>
      <c r="I653" s="1" t="n">
        <v>202100</v>
      </c>
      <c r="J653" s="1" t="n">
        <v>100000</v>
      </c>
    </row>
    <row r="654" customFormat="false" ht="14.25" hidden="false" customHeight="false" outlineLevel="0" collapsed="false">
      <c r="A654" s="1" t="n">
        <v>50</v>
      </c>
      <c r="C654" s="1" t="s">
        <v>563</v>
      </c>
      <c r="I654" s="1" t="n">
        <v>202100</v>
      </c>
      <c r="J654" s="1" t="n">
        <v>4000</v>
      </c>
    </row>
    <row r="655" customFormat="false" ht="14.25" hidden="false" customHeight="false" outlineLevel="0" collapsed="false">
      <c r="A655" s="1" t="n">
        <v>50</v>
      </c>
      <c r="C655" s="1" t="s">
        <v>564</v>
      </c>
      <c r="I655" s="1" t="n">
        <v>202100</v>
      </c>
      <c r="J655" s="1" t="n">
        <v>2000</v>
      </c>
    </row>
    <row r="656" customFormat="false" ht="14.25" hidden="false" customHeight="false" outlineLevel="0" collapsed="false">
      <c r="A656" s="1" t="n">
        <v>50</v>
      </c>
      <c r="C656" s="1" t="s">
        <v>565</v>
      </c>
      <c r="I656" s="1" t="n">
        <v>202100</v>
      </c>
      <c r="J656" s="1" t="n">
        <v>100000</v>
      </c>
    </row>
    <row r="657" customFormat="false" ht="14.25" hidden="false" customHeight="false" outlineLevel="0" collapsed="false">
      <c r="A657" s="1" t="n">
        <v>50</v>
      </c>
      <c r="C657" s="1" t="s">
        <v>566</v>
      </c>
      <c r="I657" s="1" t="n">
        <v>202100</v>
      </c>
      <c r="J657" s="1" t="n">
        <v>250000</v>
      </c>
    </row>
    <row r="658" customFormat="false" ht="14.25" hidden="false" customHeight="false" outlineLevel="0" collapsed="false">
      <c r="A658" s="1" t="n">
        <v>57</v>
      </c>
      <c r="C658" s="1" t="s">
        <v>357</v>
      </c>
      <c r="I658" s="1" t="n">
        <v>202100</v>
      </c>
      <c r="J658" s="1" t="n">
        <v>31000</v>
      </c>
    </row>
    <row r="659" customFormat="false" ht="14.25" hidden="false" customHeight="false" outlineLevel="0" collapsed="false">
      <c r="A659" s="1" t="n">
        <v>57</v>
      </c>
      <c r="C659" s="1" t="s">
        <v>359</v>
      </c>
      <c r="I659" s="1" t="n">
        <v>202100</v>
      </c>
      <c r="J659" s="1" t="n">
        <v>587000</v>
      </c>
    </row>
    <row r="660" customFormat="false" ht="14.25" hidden="false" customHeight="false" outlineLevel="0" collapsed="false">
      <c r="A660" s="1" t="n">
        <v>57</v>
      </c>
      <c r="C660" s="1" t="s">
        <v>362</v>
      </c>
      <c r="I660" s="1" t="n">
        <v>202100</v>
      </c>
      <c r="J660" s="1" t="n">
        <v>10000</v>
      </c>
    </row>
    <row r="661" customFormat="false" ht="14.25" hidden="false" customHeight="false" outlineLevel="0" collapsed="false">
      <c r="A661" s="1" t="n">
        <v>57</v>
      </c>
      <c r="C661" s="1" t="s">
        <v>364</v>
      </c>
      <c r="I661" s="1" t="n">
        <v>202100</v>
      </c>
      <c r="J661" s="1" t="n">
        <v>25000</v>
      </c>
    </row>
    <row r="662" customFormat="false" ht="14.25" hidden="false" customHeight="false" outlineLevel="0" collapsed="false">
      <c r="A662" s="1" t="n">
        <v>57</v>
      </c>
      <c r="C662" s="1" t="s">
        <v>366</v>
      </c>
      <c r="I662" s="1" t="n">
        <v>202100</v>
      </c>
      <c r="J662" s="1" t="n">
        <v>50000</v>
      </c>
    </row>
    <row r="663" customFormat="false" ht="14.25" hidden="false" customHeight="false" outlineLevel="0" collapsed="false">
      <c r="A663" s="1" t="n">
        <v>57</v>
      </c>
      <c r="C663" s="1" t="s">
        <v>368</v>
      </c>
      <c r="I663" s="1" t="n">
        <v>202100</v>
      </c>
      <c r="J663" s="1" t="n">
        <v>1000000</v>
      </c>
    </row>
    <row r="664" customFormat="false" ht="14.25" hidden="false" customHeight="false" outlineLevel="0" collapsed="false">
      <c r="A664" s="1" t="n">
        <v>57</v>
      </c>
      <c r="C664" s="1" t="s">
        <v>373</v>
      </c>
      <c r="I664" s="1" t="n">
        <v>202100</v>
      </c>
      <c r="J664" s="1" t="n">
        <v>94000</v>
      </c>
    </row>
    <row r="665" customFormat="false" ht="14.25" hidden="false" customHeight="false" outlineLevel="0" collapsed="false">
      <c r="A665" s="1" t="n">
        <v>57</v>
      </c>
      <c r="C665" s="1" t="s">
        <v>375</v>
      </c>
      <c r="I665" s="1" t="n">
        <v>202100</v>
      </c>
      <c r="J665" s="1" t="n">
        <v>2347600</v>
      </c>
    </row>
    <row r="666" customFormat="false" ht="14.25" hidden="false" customHeight="false" outlineLevel="0" collapsed="false">
      <c r="A666" s="1" t="n">
        <v>57</v>
      </c>
      <c r="C666" s="1" t="s">
        <v>379</v>
      </c>
      <c r="I666" s="1" t="n">
        <v>202100</v>
      </c>
      <c r="J666" s="1" t="n">
        <v>27000</v>
      </c>
    </row>
    <row r="667" customFormat="false" ht="14.25" hidden="false" customHeight="false" outlineLevel="0" collapsed="false">
      <c r="A667" s="1" t="n">
        <v>57</v>
      </c>
      <c r="C667" s="1" t="s">
        <v>380</v>
      </c>
      <c r="I667" s="1" t="n">
        <v>202100</v>
      </c>
      <c r="J667" s="1" t="n">
        <v>1414000</v>
      </c>
    </row>
    <row r="668" customFormat="false" ht="14.25" hidden="false" customHeight="false" outlineLevel="0" collapsed="false">
      <c r="A668" s="1" t="n">
        <v>57</v>
      </c>
      <c r="C668" s="1" t="s">
        <v>381</v>
      </c>
      <c r="I668" s="1" t="n">
        <v>202100</v>
      </c>
      <c r="J668" s="1" t="n">
        <v>10000</v>
      </c>
    </row>
    <row r="669" customFormat="false" ht="14.25" hidden="false" customHeight="false" outlineLevel="0" collapsed="false">
      <c r="A669" s="1" t="n">
        <v>57</v>
      </c>
      <c r="C669" s="1" t="s">
        <v>382</v>
      </c>
      <c r="I669" s="1" t="n">
        <v>202100</v>
      </c>
      <c r="J669" s="1" t="n">
        <v>226000</v>
      </c>
    </row>
    <row r="670" customFormat="false" ht="14.25" hidden="false" customHeight="false" outlineLevel="0" collapsed="false">
      <c r="A670" s="1" t="n">
        <v>57</v>
      </c>
      <c r="C670" s="1" t="s">
        <v>384</v>
      </c>
      <c r="I670" s="1" t="n">
        <v>202100</v>
      </c>
      <c r="J670" s="1" t="n">
        <v>160000</v>
      </c>
    </row>
    <row r="671" customFormat="false" ht="14.25" hidden="false" customHeight="false" outlineLevel="0" collapsed="false">
      <c r="A671" s="1" t="n">
        <v>57</v>
      </c>
      <c r="C671" s="1" t="s">
        <v>385</v>
      </c>
      <c r="I671" s="1" t="n">
        <v>202100</v>
      </c>
      <c r="J671" s="1" t="n">
        <v>230000</v>
      </c>
    </row>
    <row r="672" customFormat="false" ht="14.25" hidden="false" customHeight="false" outlineLevel="0" collapsed="false">
      <c r="A672" s="1" t="n">
        <v>57</v>
      </c>
      <c r="C672" s="1" t="s">
        <v>386</v>
      </c>
      <c r="I672" s="1" t="n">
        <v>202100</v>
      </c>
      <c r="J672" s="1" t="n">
        <v>100000</v>
      </c>
    </row>
    <row r="673" customFormat="false" ht="14.25" hidden="false" customHeight="false" outlineLevel="0" collapsed="false">
      <c r="A673" s="1" t="n">
        <v>57</v>
      </c>
      <c r="C673" s="1" t="s">
        <v>387</v>
      </c>
      <c r="I673" s="1" t="n">
        <v>202100</v>
      </c>
      <c r="J673" s="1" t="n">
        <v>35800</v>
      </c>
    </row>
    <row r="674" customFormat="false" ht="14.25" hidden="false" customHeight="false" outlineLevel="0" collapsed="false">
      <c r="A674" s="1" t="n">
        <v>57</v>
      </c>
      <c r="C674" s="1" t="s">
        <v>388</v>
      </c>
      <c r="I674" s="1" t="n">
        <v>202100</v>
      </c>
      <c r="J674" s="1" t="n">
        <v>10000</v>
      </c>
    </row>
    <row r="675" customFormat="false" ht="14.25" hidden="false" customHeight="false" outlineLevel="0" collapsed="false">
      <c r="A675" s="1" t="n">
        <v>57</v>
      </c>
      <c r="C675" s="1" t="s">
        <v>389</v>
      </c>
      <c r="I675" s="1" t="n">
        <v>202100</v>
      </c>
      <c r="J675" s="1" t="n">
        <v>628400</v>
      </c>
    </row>
    <row r="676" customFormat="false" ht="14.25" hidden="false" customHeight="false" outlineLevel="0" collapsed="false">
      <c r="A676" s="1" t="n">
        <v>57</v>
      </c>
      <c r="C676" s="1" t="s">
        <v>390</v>
      </c>
      <c r="I676" s="1" t="n">
        <v>202100</v>
      </c>
      <c r="J676" s="1" t="n">
        <v>284000</v>
      </c>
    </row>
    <row r="677" customFormat="false" ht="14.25" hidden="false" customHeight="false" outlineLevel="0" collapsed="false">
      <c r="A677" s="1" t="n">
        <v>57</v>
      </c>
      <c r="C677" s="1" t="s">
        <v>391</v>
      </c>
      <c r="I677" s="1" t="n">
        <v>202100</v>
      </c>
      <c r="J677" s="1" t="n">
        <v>870000</v>
      </c>
    </row>
    <row r="678" customFormat="false" ht="14.25" hidden="false" customHeight="false" outlineLevel="0" collapsed="false">
      <c r="A678" s="1" t="n">
        <v>57</v>
      </c>
      <c r="C678" s="1" t="s">
        <v>392</v>
      </c>
      <c r="I678" s="1" t="n">
        <v>202100</v>
      </c>
      <c r="J678" s="1" t="n">
        <v>3000</v>
      </c>
    </row>
    <row r="679" customFormat="false" ht="14.25" hidden="false" customHeight="false" outlineLevel="0" collapsed="false">
      <c r="A679" s="1" t="n">
        <v>57</v>
      </c>
      <c r="C679" s="1" t="s">
        <v>393</v>
      </c>
      <c r="I679" s="1" t="n">
        <v>202100</v>
      </c>
      <c r="J679" s="1" t="n">
        <v>493000</v>
      </c>
    </row>
    <row r="680" customFormat="false" ht="14.25" hidden="false" customHeight="false" outlineLevel="0" collapsed="false">
      <c r="A680" s="1" t="n">
        <v>57</v>
      </c>
      <c r="C680" s="1" t="s">
        <v>394</v>
      </c>
      <c r="I680" s="1" t="n">
        <v>202100</v>
      </c>
      <c r="J680" s="1" t="n">
        <v>30000</v>
      </c>
    </row>
    <row r="681" customFormat="false" ht="14.25" hidden="false" customHeight="false" outlineLevel="0" collapsed="false">
      <c r="A681" s="1" t="n">
        <v>57</v>
      </c>
      <c r="C681" s="1" t="s">
        <v>395</v>
      </c>
      <c r="I681" s="1" t="n">
        <v>202100</v>
      </c>
      <c r="J681" s="1" t="n">
        <v>24000</v>
      </c>
    </row>
    <row r="682" customFormat="false" ht="14.25" hidden="false" customHeight="false" outlineLevel="0" collapsed="false">
      <c r="A682" s="1" t="n">
        <v>57</v>
      </c>
      <c r="C682" s="1" t="s">
        <v>396</v>
      </c>
      <c r="I682" s="1" t="n">
        <v>202100</v>
      </c>
      <c r="J682" s="1" t="n">
        <v>83000</v>
      </c>
    </row>
    <row r="683" customFormat="false" ht="14.25" hidden="false" customHeight="false" outlineLevel="0" collapsed="false">
      <c r="A683" s="1" t="n">
        <v>57</v>
      </c>
      <c r="C683" s="1" t="s">
        <v>397</v>
      </c>
      <c r="I683" s="1" t="n">
        <v>202100</v>
      </c>
      <c r="J683" s="1" t="n">
        <v>1697000</v>
      </c>
    </row>
    <row r="684" customFormat="false" ht="14.25" hidden="false" customHeight="false" outlineLevel="0" collapsed="false">
      <c r="A684" s="1" t="n">
        <v>57</v>
      </c>
      <c r="C684" s="1" t="s">
        <v>403</v>
      </c>
      <c r="I684" s="1" t="n">
        <v>202100</v>
      </c>
      <c r="J684" s="1" t="n">
        <v>850000</v>
      </c>
    </row>
    <row r="685" customFormat="false" ht="14.25" hidden="false" customHeight="false" outlineLevel="0" collapsed="false">
      <c r="A685" s="1" t="n">
        <v>57</v>
      </c>
      <c r="C685" s="1" t="s">
        <v>407</v>
      </c>
      <c r="I685" s="1" t="n">
        <v>202100</v>
      </c>
      <c r="J685" s="1" t="n">
        <v>50000</v>
      </c>
    </row>
    <row r="686" customFormat="false" ht="14.25" hidden="false" customHeight="false" outlineLevel="0" collapsed="false">
      <c r="A686" s="1" t="n">
        <v>57</v>
      </c>
      <c r="C686" s="1" t="s">
        <v>411</v>
      </c>
      <c r="I686" s="1" t="n">
        <v>202100</v>
      </c>
      <c r="J686" s="1" t="n">
        <v>620000</v>
      </c>
    </row>
    <row r="687" customFormat="false" ht="14.25" hidden="false" customHeight="false" outlineLevel="0" collapsed="false">
      <c r="A687" s="1" t="n">
        <v>57</v>
      </c>
      <c r="C687" s="1" t="s">
        <v>412</v>
      </c>
      <c r="I687" s="1" t="n">
        <v>202100</v>
      </c>
      <c r="J687" s="1" t="n">
        <v>1100000</v>
      </c>
    </row>
    <row r="688" customFormat="false" ht="14.25" hidden="false" customHeight="false" outlineLevel="0" collapsed="false">
      <c r="A688" s="1" t="n">
        <v>57</v>
      </c>
      <c r="C688" s="1" t="s">
        <v>413</v>
      </c>
      <c r="I688" s="1" t="n">
        <v>202100</v>
      </c>
      <c r="J688" s="1" t="n">
        <v>26000</v>
      </c>
    </row>
    <row r="689" customFormat="false" ht="14.25" hidden="false" customHeight="false" outlineLevel="0" collapsed="false">
      <c r="A689" s="1" t="n">
        <v>57</v>
      </c>
      <c r="C689" s="1" t="s">
        <v>414</v>
      </c>
      <c r="I689" s="1" t="n">
        <v>202100</v>
      </c>
      <c r="J689" s="1" t="n">
        <v>152000</v>
      </c>
    </row>
    <row r="690" customFormat="false" ht="14.25" hidden="false" customHeight="false" outlineLevel="0" collapsed="false">
      <c r="A690" s="1" t="n">
        <v>57</v>
      </c>
      <c r="C690" s="1" t="s">
        <v>416</v>
      </c>
      <c r="I690" s="1" t="n">
        <v>202100</v>
      </c>
      <c r="J690" s="1" t="n">
        <v>89100</v>
      </c>
    </row>
    <row r="691" customFormat="false" ht="14.25" hidden="false" customHeight="false" outlineLevel="0" collapsed="false">
      <c r="A691" s="1" t="n">
        <v>57</v>
      </c>
      <c r="C691" s="1" t="s">
        <v>417</v>
      </c>
      <c r="I691" s="1" t="n">
        <v>202100</v>
      </c>
      <c r="J691" s="1" t="n">
        <v>89100</v>
      </c>
    </row>
    <row r="692" customFormat="false" ht="14.25" hidden="false" customHeight="false" outlineLevel="0" collapsed="false">
      <c r="A692" s="1" t="n">
        <v>57</v>
      </c>
      <c r="C692" s="1" t="s">
        <v>421</v>
      </c>
      <c r="I692" s="1" t="n">
        <v>202100</v>
      </c>
      <c r="J692" s="1" t="n">
        <v>20000</v>
      </c>
    </row>
    <row r="693" customFormat="false" ht="14.25" hidden="false" customHeight="false" outlineLevel="0" collapsed="false">
      <c r="A693" s="1" t="n">
        <v>57</v>
      </c>
      <c r="C693" s="1" t="s">
        <v>424</v>
      </c>
      <c r="I693" s="1" t="n">
        <v>202100</v>
      </c>
      <c r="J693" s="1" t="n">
        <v>17000</v>
      </c>
    </row>
    <row r="694" customFormat="false" ht="14.25" hidden="false" customHeight="false" outlineLevel="0" collapsed="false">
      <c r="A694" s="1" t="n">
        <v>57</v>
      </c>
      <c r="C694" s="1" t="s">
        <v>425</v>
      </c>
      <c r="I694" s="1" t="n">
        <v>202100</v>
      </c>
      <c r="J694" s="1" t="n">
        <v>900000</v>
      </c>
    </row>
    <row r="695" customFormat="false" ht="14.25" hidden="false" customHeight="false" outlineLevel="0" collapsed="false">
      <c r="A695" s="1" t="n">
        <v>57</v>
      </c>
      <c r="C695" s="1" t="s">
        <v>426</v>
      </c>
      <c r="I695" s="1" t="n">
        <v>202100</v>
      </c>
      <c r="J695" s="1" t="n">
        <v>3000</v>
      </c>
    </row>
    <row r="696" customFormat="false" ht="14.25" hidden="false" customHeight="false" outlineLevel="0" collapsed="false">
      <c r="A696" s="1" t="n">
        <v>57</v>
      </c>
      <c r="C696" s="1" t="s">
        <v>427</v>
      </c>
      <c r="I696" s="1" t="n">
        <v>202100</v>
      </c>
      <c r="J696" s="1" t="n">
        <v>62000</v>
      </c>
    </row>
    <row r="697" customFormat="false" ht="14.25" hidden="false" customHeight="false" outlineLevel="0" collapsed="false">
      <c r="A697" s="1" t="n">
        <v>57</v>
      </c>
      <c r="C697" s="1" t="s">
        <v>428</v>
      </c>
      <c r="I697" s="1" t="n">
        <v>202100</v>
      </c>
      <c r="J697" s="1" t="n">
        <v>30000</v>
      </c>
    </row>
    <row r="698" customFormat="false" ht="14.25" hidden="false" customHeight="false" outlineLevel="0" collapsed="false">
      <c r="A698" s="1" t="n">
        <v>57</v>
      </c>
      <c r="C698" s="1" t="s">
        <v>429</v>
      </c>
      <c r="I698" s="1" t="n">
        <v>202100</v>
      </c>
      <c r="J698" s="1" t="n">
        <v>600000</v>
      </c>
    </row>
    <row r="699" customFormat="false" ht="14.25" hidden="false" customHeight="false" outlineLevel="0" collapsed="false">
      <c r="A699" s="1" t="n">
        <v>57</v>
      </c>
      <c r="C699" s="1" t="s">
        <v>430</v>
      </c>
      <c r="I699" s="1" t="n">
        <v>202100</v>
      </c>
      <c r="J699" s="1" t="n">
        <v>150000</v>
      </c>
    </row>
    <row r="700" customFormat="false" ht="14.25" hidden="false" customHeight="false" outlineLevel="0" collapsed="false">
      <c r="A700" s="1" t="n">
        <v>57</v>
      </c>
      <c r="C700" s="1" t="s">
        <v>431</v>
      </c>
      <c r="I700" s="1" t="n">
        <v>202100</v>
      </c>
      <c r="J700" s="1" t="n">
        <v>1000</v>
      </c>
    </row>
    <row r="701" customFormat="false" ht="14.25" hidden="false" customHeight="false" outlineLevel="0" collapsed="false">
      <c r="A701" s="1" t="n">
        <v>57</v>
      </c>
      <c r="C701" s="1" t="s">
        <v>432</v>
      </c>
      <c r="I701" s="1" t="n">
        <v>202100</v>
      </c>
      <c r="J701" s="1" t="n">
        <v>25000</v>
      </c>
    </row>
    <row r="702" customFormat="false" ht="14.25" hidden="false" customHeight="false" outlineLevel="0" collapsed="false">
      <c r="A702" s="1" t="n">
        <v>57</v>
      </c>
      <c r="C702" s="1" t="s">
        <v>433</v>
      </c>
      <c r="I702" s="1" t="n">
        <v>202100</v>
      </c>
      <c r="J702" s="1" t="n">
        <v>300000</v>
      </c>
    </row>
    <row r="703" customFormat="false" ht="14.25" hidden="false" customHeight="false" outlineLevel="0" collapsed="false">
      <c r="A703" s="1" t="n">
        <v>57</v>
      </c>
      <c r="C703" s="1" t="s">
        <v>434</v>
      </c>
      <c r="I703" s="1" t="n">
        <v>202100</v>
      </c>
      <c r="J703" s="1" t="n">
        <v>600000</v>
      </c>
    </row>
    <row r="704" customFormat="false" ht="14.25" hidden="false" customHeight="false" outlineLevel="0" collapsed="false">
      <c r="A704" s="1" t="n">
        <v>57</v>
      </c>
      <c r="C704" s="1" t="s">
        <v>435</v>
      </c>
      <c r="I704" s="1" t="n">
        <v>202100</v>
      </c>
      <c r="J704" s="1" t="n">
        <v>10000</v>
      </c>
    </row>
    <row r="705" customFormat="false" ht="14.25" hidden="false" customHeight="false" outlineLevel="0" collapsed="false">
      <c r="A705" s="1" t="n">
        <v>57</v>
      </c>
      <c r="C705" s="1" t="s">
        <v>436</v>
      </c>
      <c r="I705" s="1" t="n">
        <v>202100</v>
      </c>
      <c r="J705" s="1" t="n">
        <v>10000</v>
      </c>
    </row>
    <row r="706" customFormat="false" ht="14.25" hidden="false" customHeight="false" outlineLevel="0" collapsed="false">
      <c r="A706" s="1" t="n">
        <v>57</v>
      </c>
      <c r="C706" s="1" t="s">
        <v>437</v>
      </c>
      <c r="I706" s="1" t="n">
        <v>202100</v>
      </c>
      <c r="J706" s="1" t="n">
        <v>4000</v>
      </c>
    </row>
    <row r="707" customFormat="false" ht="14.25" hidden="false" customHeight="false" outlineLevel="0" collapsed="false">
      <c r="A707" s="1" t="n">
        <v>57</v>
      </c>
      <c r="C707" s="1" t="s">
        <v>438</v>
      </c>
      <c r="I707" s="1" t="n">
        <v>202100</v>
      </c>
      <c r="J707" s="1" t="n">
        <v>452000</v>
      </c>
    </row>
    <row r="708" customFormat="false" ht="14.25" hidden="false" customHeight="false" outlineLevel="0" collapsed="false">
      <c r="A708" s="1" t="n">
        <v>57</v>
      </c>
      <c r="C708" s="1" t="s">
        <v>439</v>
      </c>
      <c r="I708" s="1" t="n">
        <v>202100</v>
      </c>
      <c r="J708" s="1" t="n">
        <v>137000</v>
      </c>
    </row>
    <row r="709" customFormat="false" ht="14.25" hidden="false" customHeight="false" outlineLevel="0" collapsed="false">
      <c r="A709" s="1" t="n">
        <v>57</v>
      </c>
      <c r="C709" s="1" t="s">
        <v>440</v>
      </c>
      <c r="I709" s="1" t="n">
        <v>202100</v>
      </c>
      <c r="J709" s="1" t="n">
        <v>153000</v>
      </c>
    </row>
    <row r="710" customFormat="false" ht="14.25" hidden="false" customHeight="false" outlineLevel="0" collapsed="false">
      <c r="A710" s="1" t="n">
        <v>57</v>
      </c>
      <c r="C710" s="1" t="s">
        <v>441</v>
      </c>
      <c r="I710" s="1" t="n">
        <v>202100</v>
      </c>
      <c r="J710" s="1" t="n">
        <v>28000</v>
      </c>
    </row>
    <row r="711" customFormat="false" ht="14.25" hidden="false" customHeight="false" outlineLevel="0" collapsed="false">
      <c r="A711" s="1" t="n">
        <v>57</v>
      </c>
      <c r="C711" s="1" t="s">
        <v>442</v>
      </c>
      <c r="I711" s="1" t="n">
        <v>202100</v>
      </c>
      <c r="J711" s="1" t="n">
        <v>31000</v>
      </c>
    </row>
    <row r="712" customFormat="false" ht="14.25" hidden="false" customHeight="false" outlineLevel="0" collapsed="false">
      <c r="A712" s="1" t="n">
        <v>57</v>
      </c>
      <c r="C712" s="1" t="s">
        <v>443</v>
      </c>
      <c r="I712" s="1" t="n">
        <v>202100</v>
      </c>
      <c r="J712" s="1" t="n">
        <v>39000</v>
      </c>
    </row>
    <row r="713" customFormat="false" ht="14.25" hidden="false" customHeight="false" outlineLevel="0" collapsed="false">
      <c r="A713" s="1" t="n">
        <v>57</v>
      </c>
      <c r="C713" s="1" t="s">
        <v>444</v>
      </c>
      <c r="I713" s="1" t="n">
        <v>202100</v>
      </c>
      <c r="J713" s="1" t="n">
        <v>39000</v>
      </c>
    </row>
    <row r="714" customFormat="false" ht="14.25" hidden="false" customHeight="false" outlineLevel="0" collapsed="false">
      <c r="A714" s="1" t="n">
        <v>57</v>
      </c>
      <c r="C714" s="1" t="s">
        <v>447</v>
      </c>
      <c r="I714" s="1" t="n">
        <v>202100</v>
      </c>
      <c r="J714" s="1" t="n">
        <v>296000</v>
      </c>
    </row>
    <row r="715" customFormat="false" ht="14.25" hidden="false" customHeight="false" outlineLevel="0" collapsed="false">
      <c r="A715" s="1" t="n">
        <v>57</v>
      </c>
      <c r="C715" s="1" t="s">
        <v>448</v>
      </c>
      <c r="I715" s="1" t="n">
        <v>202100</v>
      </c>
      <c r="J715" s="1" t="n">
        <v>996000</v>
      </c>
    </row>
    <row r="716" customFormat="false" ht="14.25" hidden="false" customHeight="false" outlineLevel="0" collapsed="false">
      <c r="A716" s="1" t="n">
        <v>57</v>
      </c>
      <c r="C716" s="1" t="s">
        <v>449</v>
      </c>
      <c r="I716" s="1" t="n">
        <v>202100</v>
      </c>
      <c r="J716" s="1" t="n">
        <v>242000</v>
      </c>
    </row>
    <row r="717" customFormat="false" ht="14.25" hidden="false" customHeight="false" outlineLevel="0" collapsed="false">
      <c r="A717" s="1" t="n">
        <v>57</v>
      </c>
      <c r="C717" s="1" t="s">
        <v>450</v>
      </c>
      <c r="I717" s="1" t="n">
        <v>202100</v>
      </c>
      <c r="J717" s="1" t="n">
        <v>242000</v>
      </c>
    </row>
    <row r="718" customFormat="false" ht="14.25" hidden="false" customHeight="false" outlineLevel="0" collapsed="false">
      <c r="A718" s="1" t="n">
        <v>57</v>
      </c>
      <c r="C718" s="1" t="s">
        <v>451</v>
      </c>
      <c r="I718" s="1" t="n">
        <v>202100</v>
      </c>
      <c r="J718" s="1" t="n">
        <v>21300</v>
      </c>
    </row>
    <row r="719" customFormat="false" ht="14.25" hidden="false" customHeight="false" outlineLevel="0" collapsed="false">
      <c r="A719" s="1" t="n">
        <v>57</v>
      </c>
      <c r="C719" s="1" t="s">
        <v>452</v>
      </c>
      <c r="I719" s="1" t="n">
        <v>202100</v>
      </c>
      <c r="J719" s="1" t="n">
        <v>70200</v>
      </c>
    </row>
    <row r="720" customFormat="false" ht="14.25" hidden="false" customHeight="false" outlineLevel="0" collapsed="false">
      <c r="A720" s="1" t="n">
        <v>57</v>
      </c>
      <c r="C720" s="1" t="s">
        <v>453</v>
      </c>
      <c r="I720" s="1" t="n">
        <v>202100</v>
      </c>
      <c r="J720" s="1" t="n">
        <v>6000</v>
      </c>
    </row>
    <row r="721" customFormat="false" ht="14.25" hidden="false" customHeight="false" outlineLevel="0" collapsed="false">
      <c r="A721" s="1" t="n">
        <v>57</v>
      </c>
      <c r="C721" s="1" t="s">
        <v>454</v>
      </c>
      <c r="I721" s="1" t="n">
        <v>202100</v>
      </c>
      <c r="J721" s="1" t="n">
        <v>56100</v>
      </c>
    </row>
    <row r="722" customFormat="false" ht="14.25" hidden="false" customHeight="false" outlineLevel="0" collapsed="false">
      <c r="A722" s="1" t="n">
        <v>57</v>
      </c>
      <c r="C722" s="1" t="s">
        <v>455</v>
      </c>
      <c r="I722" s="1" t="n">
        <v>202100</v>
      </c>
      <c r="J722" s="1" t="n">
        <v>12000</v>
      </c>
    </row>
    <row r="723" customFormat="false" ht="14.25" hidden="false" customHeight="false" outlineLevel="0" collapsed="false">
      <c r="A723" s="1" t="n">
        <v>57</v>
      </c>
      <c r="C723" s="1" t="s">
        <v>456</v>
      </c>
      <c r="I723" s="1" t="n">
        <v>202100</v>
      </c>
      <c r="J723" s="1" t="n">
        <v>756200</v>
      </c>
    </row>
    <row r="724" customFormat="false" ht="14.25" hidden="false" customHeight="false" outlineLevel="0" collapsed="false">
      <c r="A724" s="1" t="n">
        <v>57</v>
      </c>
      <c r="C724" s="1" t="s">
        <v>457</v>
      </c>
      <c r="I724" s="1" t="n">
        <v>202100</v>
      </c>
      <c r="J724" s="1" t="n">
        <v>7200</v>
      </c>
    </row>
    <row r="725" customFormat="false" ht="14.25" hidden="false" customHeight="false" outlineLevel="0" collapsed="false">
      <c r="A725" s="1" t="n">
        <v>57</v>
      </c>
      <c r="C725" s="1" t="s">
        <v>458</v>
      </c>
      <c r="I725" s="1" t="n">
        <v>202100</v>
      </c>
      <c r="J725" s="1" t="n">
        <v>337450</v>
      </c>
    </row>
    <row r="726" customFormat="false" ht="14.25" hidden="false" customHeight="false" outlineLevel="0" collapsed="false">
      <c r="A726" s="1" t="n">
        <v>57</v>
      </c>
      <c r="C726" s="1" t="s">
        <v>459</v>
      </c>
      <c r="I726" s="1" t="n">
        <v>202100</v>
      </c>
      <c r="J726" s="1" t="n">
        <v>23410</v>
      </c>
    </row>
    <row r="727" customFormat="false" ht="14.25" hidden="false" customHeight="false" outlineLevel="0" collapsed="false">
      <c r="A727" s="1" t="n">
        <v>57</v>
      </c>
      <c r="C727" s="1" t="s">
        <v>460</v>
      </c>
      <c r="I727" s="1" t="n">
        <v>202100</v>
      </c>
      <c r="J727" s="1" t="n">
        <v>22000</v>
      </c>
    </row>
    <row r="728" customFormat="false" ht="14.25" hidden="false" customHeight="false" outlineLevel="0" collapsed="false">
      <c r="A728" s="1" t="n">
        <v>57</v>
      </c>
      <c r="C728" s="1" t="s">
        <v>461</v>
      </c>
      <c r="I728" s="1" t="n">
        <v>202100</v>
      </c>
      <c r="J728" s="1" t="n">
        <v>44550</v>
      </c>
    </row>
    <row r="729" customFormat="false" ht="14.25" hidden="false" customHeight="false" outlineLevel="0" collapsed="false">
      <c r="A729" s="1" t="n">
        <v>57</v>
      </c>
      <c r="C729" s="1" t="s">
        <v>462</v>
      </c>
      <c r="I729" s="1" t="n">
        <v>202100</v>
      </c>
      <c r="J729" s="1" t="n">
        <v>14500</v>
      </c>
    </row>
    <row r="730" customFormat="false" ht="14.25" hidden="false" customHeight="false" outlineLevel="0" collapsed="false">
      <c r="A730" s="1" t="n">
        <v>57</v>
      </c>
      <c r="C730" s="1" t="s">
        <v>463</v>
      </c>
      <c r="I730" s="1" t="n">
        <v>202100</v>
      </c>
      <c r="J730" s="1" t="n">
        <v>37880</v>
      </c>
    </row>
    <row r="731" customFormat="false" ht="14.25" hidden="false" customHeight="false" outlineLevel="0" collapsed="false">
      <c r="A731" s="1" t="n">
        <v>57</v>
      </c>
      <c r="C731" s="1" t="s">
        <v>464</v>
      </c>
      <c r="I731" s="1" t="n">
        <v>202100</v>
      </c>
      <c r="J731" s="1" t="n">
        <v>1038000</v>
      </c>
    </row>
    <row r="732" customFormat="false" ht="14.25" hidden="false" customHeight="false" outlineLevel="0" collapsed="false">
      <c r="A732" s="1" t="n">
        <v>57</v>
      </c>
      <c r="C732" s="1" t="s">
        <v>466</v>
      </c>
      <c r="I732" s="1" t="n">
        <v>202100</v>
      </c>
      <c r="J732" s="1" t="n">
        <v>1074400</v>
      </c>
    </row>
    <row r="733" customFormat="false" ht="14.25" hidden="false" customHeight="false" outlineLevel="0" collapsed="false">
      <c r="A733" s="1" t="n">
        <v>57</v>
      </c>
      <c r="C733" s="1" t="s">
        <v>468</v>
      </c>
      <c r="I733" s="1" t="n">
        <v>202100</v>
      </c>
      <c r="J733" s="1" t="n">
        <v>20000</v>
      </c>
    </row>
    <row r="734" customFormat="false" ht="14.25" hidden="false" customHeight="false" outlineLevel="0" collapsed="false">
      <c r="A734" s="1" t="n">
        <v>57</v>
      </c>
      <c r="C734" s="1" t="s">
        <v>469</v>
      </c>
      <c r="I734" s="1" t="n">
        <v>202100</v>
      </c>
      <c r="J734" s="1" t="n">
        <v>20000</v>
      </c>
    </row>
    <row r="735" customFormat="false" ht="14.25" hidden="false" customHeight="false" outlineLevel="0" collapsed="false">
      <c r="A735" s="1" t="n">
        <v>57</v>
      </c>
      <c r="C735" s="1" t="s">
        <v>470</v>
      </c>
      <c r="I735" s="1" t="n">
        <v>202100</v>
      </c>
      <c r="J735" s="1" t="n">
        <v>375000</v>
      </c>
    </row>
    <row r="736" customFormat="false" ht="14.25" hidden="false" customHeight="false" outlineLevel="0" collapsed="false">
      <c r="A736" s="1" t="n">
        <v>57</v>
      </c>
      <c r="C736" s="1" t="s">
        <v>472</v>
      </c>
      <c r="I736" s="1" t="n">
        <v>202100</v>
      </c>
      <c r="J736" s="1" t="n">
        <v>4549000</v>
      </c>
    </row>
    <row r="737" customFormat="false" ht="14.25" hidden="false" customHeight="false" outlineLevel="0" collapsed="false">
      <c r="A737" s="1" t="n">
        <v>57</v>
      </c>
      <c r="C737" s="1" t="s">
        <v>474</v>
      </c>
      <c r="I737" s="1" t="n">
        <v>202100</v>
      </c>
      <c r="J737" s="1" t="n">
        <v>1040000</v>
      </c>
    </row>
    <row r="738" customFormat="false" ht="14.25" hidden="false" customHeight="false" outlineLevel="0" collapsed="false">
      <c r="A738" s="1" t="n">
        <v>57</v>
      </c>
      <c r="C738" s="1" t="s">
        <v>475</v>
      </c>
      <c r="I738" s="1" t="n">
        <v>202100</v>
      </c>
      <c r="J738" s="1" t="n">
        <v>173000</v>
      </c>
    </row>
    <row r="739" customFormat="false" ht="14.25" hidden="false" customHeight="false" outlineLevel="0" collapsed="false">
      <c r="A739" s="1" t="n">
        <v>57</v>
      </c>
      <c r="C739" s="1" t="s">
        <v>476</v>
      </c>
      <c r="I739" s="1" t="n">
        <v>202100</v>
      </c>
      <c r="J739" s="1" t="n">
        <v>403000</v>
      </c>
    </row>
    <row r="740" customFormat="false" ht="14.25" hidden="false" customHeight="false" outlineLevel="0" collapsed="false">
      <c r="A740" s="1" t="n">
        <v>57</v>
      </c>
      <c r="C740" s="1" t="s">
        <v>478</v>
      </c>
      <c r="I740" s="1" t="n">
        <v>202100</v>
      </c>
      <c r="J740" s="1" t="n">
        <v>10000</v>
      </c>
    </row>
    <row r="741" customFormat="false" ht="14.25" hidden="false" customHeight="false" outlineLevel="0" collapsed="false">
      <c r="A741" s="1" t="n">
        <v>57</v>
      </c>
      <c r="C741" s="1" t="s">
        <v>479</v>
      </c>
      <c r="I741" s="1" t="n">
        <v>202100</v>
      </c>
      <c r="J741" s="1" t="n">
        <v>279000</v>
      </c>
    </row>
    <row r="742" customFormat="false" ht="14.25" hidden="false" customHeight="false" outlineLevel="0" collapsed="false">
      <c r="A742" s="1" t="n">
        <v>57</v>
      </c>
      <c r="C742" s="1" t="s">
        <v>480</v>
      </c>
      <c r="I742" s="1" t="n">
        <v>202100</v>
      </c>
      <c r="J742" s="1" t="n">
        <v>651000</v>
      </c>
    </row>
    <row r="743" customFormat="false" ht="14.25" hidden="false" customHeight="false" outlineLevel="0" collapsed="false">
      <c r="A743" s="1" t="n">
        <v>57</v>
      </c>
      <c r="C743" s="1" t="s">
        <v>481</v>
      </c>
      <c r="I743" s="1" t="n">
        <v>202100</v>
      </c>
      <c r="J743" s="1" t="n">
        <v>285000</v>
      </c>
    </row>
    <row r="744" customFormat="false" ht="14.25" hidden="false" customHeight="false" outlineLevel="0" collapsed="false">
      <c r="A744" s="1" t="n">
        <v>57</v>
      </c>
      <c r="C744" s="1" t="s">
        <v>482</v>
      </c>
      <c r="I744" s="1" t="n">
        <v>202100</v>
      </c>
      <c r="J744" s="1" t="n">
        <v>665000</v>
      </c>
    </row>
    <row r="745" customFormat="false" ht="14.25" hidden="false" customHeight="false" outlineLevel="0" collapsed="false">
      <c r="A745" s="1" t="n">
        <v>57</v>
      </c>
      <c r="C745" s="1" t="s">
        <v>483</v>
      </c>
      <c r="I745" s="1" t="n">
        <v>202100</v>
      </c>
      <c r="J745" s="1" t="n">
        <v>3000</v>
      </c>
    </row>
    <row r="746" customFormat="false" ht="14.25" hidden="false" customHeight="false" outlineLevel="0" collapsed="false">
      <c r="A746" s="1" t="n">
        <v>57</v>
      </c>
      <c r="C746" s="1" t="s">
        <v>484</v>
      </c>
      <c r="I746" s="1" t="n">
        <v>202100</v>
      </c>
      <c r="J746" s="1" t="n">
        <v>30000</v>
      </c>
    </row>
    <row r="747" customFormat="false" ht="14.25" hidden="false" customHeight="false" outlineLevel="0" collapsed="false">
      <c r="A747" s="1" t="n">
        <v>57</v>
      </c>
      <c r="C747" s="1" t="s">
        <v>485</v>
      </c>
      <c r="I747" s="1" t="n">
        <v>202100</v>
      </c>
      <c r="J747" s="1" t="n">
        <v>5000</v>
      </c>
    </row>
    <row r="748" customFormat="false" ht="14.25" hidden="false" customHeight="false" outlineLevel="0" collapsed="false">
      <c r="A748" s="1" t="n">
        <v>57</v>
      </c>
      <c r="C748" s="1" t="s">
        <v>486</v>
      </c>
      <c r="I748" s="1" t="n">
        <v>202100</v>
      </c>
      <c r="J748" s="1" t="n">
        <v>340000</v>
      </c>
    </row>
    <row r="749" customFormat="false" ht="14.25" hidden="false" customHeight="false" outlineLevel="0" collapsed="false">
      <c r="A749" s="1" t="n">
        <v>57</v>
      </c>
      <c r="C749" s="1" t="s">
        <v>487</v>
      </c>
      <c r="I749" s="1" t="n">
        <v>202100</v>
      </c>
      <c r="J749" s="1" t="n">
        <v>30000</v>
      </c>
    </row>
    <row r="750" customFormat="false" ht="14.25" hidden="false" customHeight="false" outlineLevel="0" collapsed="false">
      <c r="A750" s="1" t="n">
        <v>57</v>
      </c>
      <c r="C750" s="1" t="s">
        <v>488</v>
      </c>
      <c r="I750" s="1" t="n">
        <v>202100</v>
      </c>
      <c r="J750" s="1" t="n">
        <v>2000</v>
      </c>
    </row>
    <row r="751" customFormat="false" ht="14.25" hidden="false" customHeight="false" outlineLevel="0" collapsed="false">
      <c r="A751" s="1" t="n">
        <v>57</v>
      </c>
      <c r="C751" s="1" t="s">
        <v>489</v>
      </c>
      <c r="I751" s="1" t="n">
        <v>202100</v>
      </c>
      <c r="J751" s="1" t="n">
        <v>660000</v>
      </c>
    </row>
    <row r="752" customFormat="false" ht="14.25" hidden="false" customHeight="false" outlineLevel="0" collapsed="false">
      <c r="A752" s="1" t="n">
        <v>57</v>
      </c>
      <c r="C752" s="1" t="s">
        <v>490</v>
      </c>
      <c r="I752" s="1" t="n">
        <v>202100</v>
      </c>
      <c r="J752" s="1" t="n">
        <v>5000</v>
      </c>
    </row>
    <row r="753" customFormat="false" ht="14.25" hidden="false" customHeight="false" outlineLevel="0" collapsed="false">
      <c r="A753" s="1" t="n">
        <v>57</v>
      </c>
      <c r="C753" s="1" t="s">
        <v>491</v>
      </c>
      <c r="I753" s="1" t="n">
        <v>202100</v>
      </c>
      <c r="J753" s="1" t="n">
        <v>600000</v>
      </c>
    </row>
    <row r="754" customFormat="false" ht="14.25" hidden="false" customHeight="false" outlineLevel="0" collapsed="false">
      <c r="A754" s="1" t="n">
        <v>57</v>
      </c>
      <c r="C754" s="1" t="s">
        <v>493</v>
      </c>
      <c r="I754" s="1" t="n">
        <v>202100</v>
      </c>
      <c r="J754" s="1" t="n">
        <v>125000</v>
      </c>
    </row>
    <row r="755" customFormat="false" ht="14.25" hidden="false" customHeight="false" outlineLevel="0" collapsed="false">
      <c r="A755" s="1" t="n">
        <v>57</v>
      </c>
      <c r="C755" s="1" t="s">
        <v>494</v>
      </c>
      <c r="I755" s="1" t="n">
        <v>202100</v>
      </c>
      <c r="J755" s="1" t="n">
        <v>50000</v>
      </c>
    </row>
    <row r="756" customFormat="false" ht="14.25" hidden="false" customHeight="false" outlineLevel="0" collapsed="false">
      <c r="A756" s="1" t="n">
        <v>57</v>
      </c>
      <c r="C756" s="1" t="s">
        <v>495</v>
      </c>
      <c r="I756" s="1" t="n">
        <v>202100</v>
      </c>
      <c r="J756" s="1" t="n">
        <v>150000</v>
      </c>
    </row>
    <row r="757" customFormat="false" ht="14.25" hidden="false" customHeight="false" outlineLevel="0" collapsed="false">
      <c r="A757" s="1" t="n">
        <v>57</v>
      </c>
      <c r="C757" s="1" t="s">
        <v>496</v>
      </c>
      <c r="I757" s="1" t="n">
        <v>202100</v>
      </c>
      <c r="J757" s="1" t="n">
        <v>10000</v>
      </c>
    </row>
    <row r="758" customFormat="false" ht="14.25" hidden="false" customHeight="false" outlineLevel="0" collapsed="false">
      <c r="A758" s="1" t="n">
        <v>57</v>
      </c>
      <c r="C758" s="1" t="s">
        <v>497</v>
      </c>
      <c r="I758" s="1" t="n">
        <v>202100</v>
      </c>
      <c r="J758" s="1" t="n">
        <v>1770000</v>
      </c>
    </row>
    <row r="759" customFormat="false" ht="14.25" hidden="false" customHeight="false" outlineLevel="0" collapsed="false">
      <c r="A759" s="1" t="n">
        <v>57</v>
      </c>
      <c r="C759" s="1" t="s">
        <v>498</v>
      </c>
      <c r="I759" s="1" t="n">
        <v>202100</v>
      </c>
      <c r="J759" s="1" t="n">
        <v>18000</v>
      </c>
    </row>
    <row r="760" customFormat="false" ht="14.25" hidden="false" customHeight="false" outlineLevel="0" collapsed="false">
      <c r="A760" s="1" t="n">
        <v>57</v>
      </c>
      <c r="C760" s="1" t="s">
        <v>499</v>
      </c>
      <c r="I760" s="1" t="n">
        <v>202100</v>
      </c>
      <c r="J760" s="1" t="n">
        <v>1387000</v>
      </c>
    </row>
    <row r="761" customFormat="false" ht="14.25" hidden="false" customHeight="false" outlineLevel="0" collapsed="false">
      <c r="A761" s="1" t="n">
        <v>57</v>
      </c>
      <c r="C761" s="1" t="s">
        <v>500</v>
      </c>
      <c r="I761" s="1" t="n">
        <v>202100</v>
      </c>
      <c r="J761" s="1" t="n">
        <v>15000</v>
      </c>
    </row>
    <row r="762" customFormat="false" ht="14.25" hidden="false" customHeight="false" outlineLevel="0" collapsed="false">
      <c r="A762" s="1" t="n">
        <v>57</v>
      </c>
      <c r="C762" s="1" t="s">
        <v>501</v>
      </c>
      <c r="I762" s="1" t="n">
        <v>202100</v>
      </c>
      <c r="J762" s="1" t="n">
        <v>50000</v>
      </c>
    </row>
    <row r="763" customFormat="false" ht="14.25" hidden="false" customHeight="false" outlineLevel="0" collapsed="false">
      <c r="A763" s="1" t="n">
        <v>57</v>
      </c>
      <c r="C763" s="1" t="s">
        <v>502</v>
      </c>
      <c r="I763" s="1" t="n">
        <v>202100</v>
      </c>
      <c r="J763" s="1" t="n">
        <v>15000</v>
      </c>
    </row>
    <row r="764" customFormat="false" ht="14.25" hidden="false" customHeight="false" outlineLevel="0" collapsed="false">
      <c r="A764" s="1" t="n">
        <v>57</v>
      </c>
      <c r="C764" s="1" t="s">
        <v>503</v>
      </c>
      <c r="I764" s="1" t="n">
        <v>202100</v>
      </c>
      <c r="J764" s="1" t="n">
        <v>20000</v>
      </c>
    </row>
    <row r="765" customFormat="false" ht="14.25" hidden="false" customHeight="false" outlineLevel="0" collapsed="false">
      <c r="A765" s="1" t="n">
        <v>57</v>
      </c>
      <c r="C765" s="1" t="s">
        <v>504</v>
      </c>
      <c r="I765" s="1" t="n">
        <v>202100</v>
      </c>
      <c r="J765" s="1" t="n">
        <v>40000</v>
      </c>
    </row>
    <row r="766" customFormat="false" ht="14.25" hidden="false" customHeight="false" outlineLevel="0" collapsed="false">
      <c r="A766" s="1" t="n">
        <v>57</v>
      </c>
      <c r="C766" s="1" t="s">
        <v>505</v>
      </c>
      <c r="I766" s="1" t="n">
        <v>202100</v>
      </c>
      <c r="J766" s="1" t="n">
        <v>700000</v>
      </c>
    </row>
    <row r="767" customFormat="false" ht="14.25" hidden="false" customHeight="false" outlineLevel="0" collapsed="false">
      <c r="A767" s="1" t="n">
        <v>57</v>
      </c>
      <c r="C767" s="1" t="s">
        <v>506</v>
      </c>
      <c r="I767" s="1" t="n">
        <v>202100</v>
      </c>
      <c r="J767" s="1" t="n">
        <v>20000</v>
      </c>
    </row>
    <row r="768" customFormat="false" ht="14.25" hidden="false" customHeight="false" outlineLevel="0" collapsed="false">
      <c r="A768" s="1" t="n">
        <v>57</v>
      </c>
      <c r="C768" s="1" t="s">
        <v>507</v>
      </c>
      <c r="I768" s="1" t="n">
        <v>202100</v>
      </c>
      <c r="J768" s="1" t="n">
        <v>100000</v>
      </c>
    </row>
    <row r="769" customFormat="false" ht="14.25" hidden="false" customHeight="false" outlineLevel="0" collapsed="false">
      <c r="A769" s="1" t="n">
        <v>57</v>
      </c>
      <c r="C769" s="1" t="s">
        <v>508</v>
      </c>
      <c r="I769" s="1" t="n">
        <v>202100</v>
      </c>
      <c r="J769" s="1" t="n">
        <v>10000</v>
      </c>
    </row>
    <row r="770" customFormat="false" ht="14.25" hidden="false" customHeight="false" outlineLevel="0" collapsed="false">
      <c r="A770" s="1" t="n">
        <v>57</v>
      </c>
      <c r="C770" s="1" t="s">
        <v>509</v>
      </c>
      <c r="I770" s="1" t="n">
        <v>202100</v>
      </c>
      <c r="J770" s="1" t="n">
        <v>486000</v>
      </c>
    </row>
    <row r="771" customFormat="false" ht="14.25" hidden="false" customHeight="false" outlineLevel="0" collapsed="false">
      <c r="A771" s="1" t="n">
        <v>57</v>
      </c>
      <c r="C771" s="1" t="s">
        <v>510</v>
      </c>
      <c r="I771" s="1" t="n">
        <v>202100</v>
      </c>
      <c r="J771" s="1" t="n">
        <v>1000</v>
      </c>
    </row>
    <row r="772" customFormat="false" ht="14.25" hidden="false" customHeight="false" outlineLevel="0" collapsed="false">
      <c r="A772" s="1" t="n">
        <v>57</v>
      </c>
      <c r="C772" s="1" t="s">
        <v>511</v>
      </c>
      <c r="I772" s="1" t="n">
        <v>202100</v>
      </c>
      <c r="J772" s="1" t="n">
        <v>10000</v>
      </c>
    </row>
    <row r="773" customFormat="false" ht="14.25" hidden="false" customHeight="false" outlineLevel="0" collapsed="false">
      <c r="A773" s="1" t="n">
        <v>57</v>
      </c>
      <c r="C773" s="1" t="s">
        <v>512</v>
      </c>
      <c r="I773" s="1" t="n">
        <v>202100</v>
      </c>
      <c r="J773" s="1" t="n">
        <v>616000</v>
      </c>
    </row>
    <row r="774" customFormat="false" ht="14.25" hidden="false" customHeight="false" outlineLevel="0" collapsed="false">
      <c r="A774" s="1" t="n">
        <v>57</v>
      </c>
      <c r="C774" s="1" t="s">
        <v>514</v>
      </c>
      <c r="I774" s="1" t="n">
        <v>202100</v>
      </c>
      <c r="J774" s="1" t="n">
        <v>304000</v>
      </c>
    </row>
    <row r="775" customFormat="false" ht="14.25" hidden="false" customHeight="false" outlineLevel="0" collapsed="false">
      <c r="A775" s="1" t="n">
        <v>57</v>
      </c>
      <c r="C775" s="1" t="s">
        <v>517</v>
      </c>
      <c r="I775" s="1" t="n">
        <v>202100</v>
      </c>
      <c r="J775" s="1" t="n">
        <v>50000</v>
      </c>
    </row>
    <row r="776" customFormat="false" ht="14.25" hidden="false" customHeight="false" outlineLevel="0" collapsed="false">
      <c r="A776" s="1" t="n">
        <v>57</v>
      </c>
      <c r="C776" s="1" t="s">
        <v>518</v>
      </c>
      <c r="I776" s="1" t="n">
        <v>202100</v>
      </c>
      <c r="J776" s="1" t="n">
        <v>50000</v>
      </c>
    </row>
    <row r="777" customFormat="false" ht="14.25" hidden="false" customHeight="false" outlineLevel="0" collapsed="false">
      <c r="A777" s="1" t="n">
        <v>57</v>
      </c>
      <c r="C777" s="1" t="s">
        <v>519</v>
      </c>
      <c r="I777" s="1" t="n">
        <v>202100</v>
      </c>
      <c r="J777" s="1" t="n">
        <v>100000</v>
      </c>
    </row>
    <row r="778" customFormat="false" ht="14.25" hidden="false" customHeight="false" outlineLevel="0" collapsed="false">
      <c r="A778" s="1" t="n">
        <v>57</v>
      </c>
      <c r="C778" s="1" t="s">
        <v>520</v>
      </c>
      <c r="I778" s="1" t="n">
        <v>202100</v>
      </c>
      <c r="J778" s="1" t="n">
        <v>1100000</v>
      </c>
    </row>
    <row r="779" customFormat="false" ht="14.25" hidden="false" customHeight="false" outlineLevel="0" collapsed="false">
      <c r="A779" s="1" t="n">
        <v>57</v>
      </c>
      <c r="C779" s="1" t="s">
        <v>521</v>
      </c>
      <c r="I779" s="1" t="n">
        <v>202100</v>
      </c>
      <c r="J779" s="1" t="n">
        <v>30000</v>
      </c>
    </row>
    <row r="780" customFormat="false" ht="14.25" hidden="false" customHeight="false" outlineLevel="0" collapsed="false">
      <c r="A780" s="1" t="n">
        <v>57</v>
      </c>
      <c r="C780" s="1" t="s">
        <v>522</v>
      </c>
      <c r="I780" s="1" t="n">
        <v>202100</v>
      </c>
      <c r="J780" s="1" t="n">
        <v>50000</v>
      </c>
    </row>
    <row r="781" customFormat="false" ht="14.25" hidden="false" customHeight="false" outlineLevel="0" collapsed="false">
      <c r="A781" s="1" t="n">
        <v>57</v>
      </c>
      <c r="C781" s="1" t="s">
        <v>523</v>
      </c>
      <c r="I781" s="1" t="n">
        <v>202100</v>
      </c>
      <c r="J781" s="1" t="n">
        <v>195000</v>
      </c>
    </row>
    <row r="782" customFormat="false" ht="14.25" hidden="false" customHeight="false" outlineLevel="0" collapsed="false">
      <c r="A782" s="1" t="n">
        <v>57</v>
      </c>
      <c r="C782" s="1" t="s">
        <v>524</v>
      </c>
      <c r="I782" s="1" t="n">
        <v>202100</v>
      </c>
      <c r="J782" s="1" t="n">
        <v>1305000</v>
      </c>
    </row>
    <row r="783" customFormat="false" ht="14.25" hidden="false" customHeight="false" outlineLevel="0" collapsed="false">
      <c r="A783" s="1" t="n">
        <v>57</v>
      </c>
      <c r="C783" s="1" t="s">
        <v>529</v>
      </c>
      <c r="I783" s="1" t="n">
        <v>202100</v>
      </c>
      <c r="J783" s="1" t="n">
        <v>42000</v>
      </c>
    </row>
    <row r="784" customFormat="false" ht="14.25" hidden="false" customHeight="false" outlineLevel="0" collapsed="false">
      <c r="A784" s="1" t="n">
        <v>57</v>
      </c>
      <c r="C784" s="1" t="s">
        <v>530</v>
      </c>
      <c r="I784" s="1" t="n">
        <v>202100</v>
      </c>
      <c r="J784" s="1" t="n">
        <v>250000</v>
      </c>
    </row>
    <row r="785" customFormat="false" ht="14.25" hidden="false" customHeight="false" outlineLevel="0" collapsed="false">
      <c r="A785" s="1" t="n">
        <v>57</v>
      </c>
      <c r="C785" s="1" t="s">
        <v>531</v>
      </c>
      <c r="I785" s="1" t="n">
        <v>202100</v>
      </c>
      <c r="J785" s="1" t="n">
        <v>141796.94</v>
      </c>
    </row>
    <row r="786" customFormat="false" ht="14.25" hidden="false" customHeight="false" outlineLevel="0" collapsed="false">
      <c r="A786" s="1" t="n">
        <v>57</v>
      </c>
      <c r="C786" s="1" t="s">
        <v>532</v>
      </c>
      <c r="I786" s="1" t="n">
        <v>202100</v>
      </c>
      <c r="J786" s="1" t="n">
        <v>98167.11</v>
      </c>
    </row>
    <row r="787" customFormat="false" ht="14.25" hidden="false" customHeight="false" outlineLevel="0" collapsed="false">
      <c r="A787" s="1" t="n">
        <v>57</v>
      </c>
      <c r="C787" s="1" t="s">
        <v>533</v>
      </c>
      <c r="I787" s="1" t="n">
        <v>202100</v>
      </c>
      <c r="J787" s="1" t="n">
        <v>21640</v>
      </c>
    </row>
    <row r="788" customFormat="false" ht="14.25" hidden="false" customHeight="false" outlineLevel="0" collapsed="false">
      <c r="A788" s="1" t="n">
        <v>57</v>
      </c>
      <c r="C788" s="1" t="s">
        <v>534</v>
      </c>
      <c r="I788" s="1" t="n">
        <v>202100</v>
      </c>
      <c r="J788" s="1" t="n">
        <v>7280</v>
      </c>
    </row>
    <row r="789" customFormat="false" ht="14.25" hidden="false" customHeight="false" outlineLevel="0" collapsed="false">
      <c r="A789" s="1" t="n">
        <v>57</v>
      </c>
      <c r="C789" s="1" t="s">
        <v>535</v>
      </c>
      <c r="I789" s="1" t="n">
        <v>202100</v>
      </c>
      <c r="J789" s="1" t="n">
        <v>71435</v>
      </c>
    </row>
    <row r="790" customFormat="false" ht="14.25" hidden="false" customHeight="false" outlineLevel="0" collapsed="false">
      <c r="A790" s="1" t="n">
        <v>57</v>
      </c>
      <c r="C790" s="1" t="s">
        <v>536</v>
      </c>
      <c r="I790" s="1" t="n">
        <v>202100</v>
      </c>
      <c r="J790" s="1" t="n">
        <v>49455</v>
      </c>
    </row>
    <row r="791" customFormat="false" ht="14.25" hidden="false" customHeight="false" outlineLevel="0" collapsed="false">
      <c r="A791" s="1" t="n">
        <v>57</v>
      </c>
      <c r="C791" s="1" t="s">
        <v>537</v>
      </c>
      <c r="I791" s="1" t="n">
        <v>202100</v>
      </c>
      <c r="J791" s="1" t="n">
        <v>33215</v>
      </c>
    </row>
    <row r="792" customFormat="false" ht="14.25" hidden="false" customHeight="false" outlineLevel="0" collapsed="false">
      <c r="A792" s="1" t="n">
        <v>57</v>
      </c>
      <c r="C792" s="1" t="s">
        <v>538</v>
      </c>
      <c r="I792" s="1" t="n">
        <v>202100</v>
      </c>
      <c r="J792" s="1" t="n">
        <v>22995</v>
      </c>
    </row>
    <row r="793" customFormat="false" ht="14.25" hidden="false" customHeight="false" outlineLevel="0" collapsed="false">
      <c r="A793" s="1" t="n">
        <v>57</v>
      </c>
      <c r="C793" s="1" t="s">
        <v>539</v>
      </c>
      <c r="I793" s="1" t="n">
        <v>202100</v>
      </c>
      <c r="J793" s="1" t="n">
        <v>202170.8</v>
      </c>
    </row>
    <row r="794" customFormat="false" ht="14.25" hidden="false" customHeight="false" outlineLevel="0" collapsed="false">
      <c r="A794" s="1" t="n">
        <v>57</v>
      </c>
      <c r="C794" s="1" t="s">
        <v>540</v>
      </c>
      <c r="I794" s="1" t="n">
        <v>202100</v>
      </c>
      <c r="J794" s="1" t="n">
        <v>139964.4</v>
      </c>
    </row>
    <row r="795" customFormat="false" ht="14.25" hidden="false" customHeight="false" outlineLevel="0" collapsed="false">
      <c r="A795" s="1" t="n">
        <v>57</v>
      </c>
      <c r="C795" s="1" t="s">
        <v>541</v>
      </c>
      <c r="I795" s="1" t="n">
        <v>202100</v>
      </c>
      <c r="J795" s="1" t="n">
        <v>310362</v>
      </c>
    </row>
    <row r="796" customFormat="false" ht="14.25" hidden="false" customHeight="false" outlineLevel="0" collapsed="false">
      <c r="A796" s="1" t="n">
        <v>57</v>
      </c>
      <c r="C796" s="1" t="s">
        <v>542</v>
      </c>
      <c r="I796" s="1" t="n">
        <v>202100</v>
      </c>
      <c r="J796" s="1" t="n">
        <v>214866</v>
      </c>
    </row>
    <row r="797" customFormat="false" ht="14.25" hidden="false" customHeight="false" outlineLevel="0" collapsed="false">
      <c r="A797" s="1" t="n">
        <v>57</v>
      </c>
      <c r="C797" s="1" t="s">
        <v>543</v>
      </c>
      <c r="I797" s="1" t="n">
        <v>202100</v>
      </c>
      <c r="J797" s="1" t="n">
        <v>654447.41</v>
      </c>
    </row>
    <row r="798" customFormat="false" ht="14.25" hidden="false" customHeight="false" outlineLevel="0" collapsed="false">
      <c r="A798" s="1" t="n">
        <v>57</v>
      </c>
      <c r="C798" s="1" t="s">
        <v>544</v>
      </c>
      <c r="I798" s="1" t="n">
        <v>202100</v>
      </c>
      <c r="J798" s="1" t="n">
        <v>196334.22</v>
      </c>
    </row>
    <row r="799" customFormat="false" ht="14.25" hidden="false" customHeight="false" outlineLevel="0" collapsed="false">
      <c r="A799" s="1" t="n">
        <v>57</v>
      </c>
      <c r="C799" s="1" t="s">
        <v>545</v>
      </c>
      <c r="I799" s="1" t="n">
        <v>202100</v>
      </c>
      <c r="J799" s="1" t="n">
        <v>329700</v>
      </c>
    </row>
    <row r="800" customFormat="false" ht="14.25" hidden="false" customHeight="false" outlineLevel="0" collapsed="false">
      <c r="A800" s="1" t="n">
        <v>57</v>
      </c>
      <c r="C800" s="1" t="s">
        <v>546</v>
      </c>
      <c r="I800" s="1" t="n">
        <v>202100</v>
      </c>
      <c r="J800" s="1" t="n">
        <v>98910</v>
      </c>
    </row>
    <row r="801" customFormat="false" ht="14.25" hidden="false" customHeight="false" outlineLevel="0" collapsed="false">
      <c r="A801" s="1" t="n">
        <v>57</v>
      </c>
      <c r="C801" s="1" t="s">
        <v>547</v>
      </c>
      <c r="I801" s="1" t="n">
        <v>202100</v>
      </c>
      <c r="J801" s="1" t="n">
        <v>153300</v>
      </c>
    </row>
    <row r="802" customFormat="false" ht="14.25" hidden="false" customHeight="false" outlineLevel="0" collapsed="false">
      <c r="A802" s="1" t="n">
        <v>57</v>
      </c>
      <c r="C802" s="1" t="s">
        <v>548</v>
      </c>
      <c r="I802" s="1" t="n">
        <v>202100</v>
      </c>
      <c r="J802" s="1" t="n">
        <v>45990</v>
      </c>
    </row>
    <row r="803" customFormat="false" ht="14.25" hidden="false" customHeight="false" outlineLevel="0" collapsed="false">
      <c r="A803" s="1" t="n">
        <v>57</v>
      </c>
      <c r="C803" s="1" t="s">
        <v>549</v>
      </c>
      <c r="I803" s="1" t="n">
        <v>202100</v>
      </c>
      <c r="J803" s="1" t="n">
        <v>933096</v>
      </c>
    </row>
    <row r="804" customFormat="false" ht="14.25" hidden="false" customHeight="false" outlineLevel="0" collapsed="false">
      <c r="A804" s="1" t="n">
        <v>57</v>
      </c>
      <c r="C804" s="1" t="s">
        <v>550</v>
      </c>
      <c r="I804" s="1" t="n">
        <v>202100</v>
      </c>
      <c r="J804" s="1" t="n">
        <v>279928.8</v>
      </c>
    </row>
    <row r="805" customFormat="false" ht="14.25" hidden="false" customHeight="false" outlineLevel="0" collapsed="false">
      <c r="A805" s="1" t="n">
        <v>57</v>
      </c>
      <c r="C805" s="1" t="s">
        <v>551</v>
      </c>
      <c r="I805" s="1" t="n">
        <v>202100</v>
      </c>
      <c r="J805" s="1" t="n">
        <v>1432440</v>
      </c>
    </row>
    <row r="806" customFormat="false" ht="14.25" hidden="false" customHeight="false" outlineLevel="0" collapsed="false">
      <c r="A806" s="1" t="n">
        <v>57</v>
      </c>
      <c r="C806" s="1" t="s">
        <v>552</v>
      </c>
      <c r="I806" s="1" t="n">
        <v>202100</v>
      </c>
      <c r="J806" s="1" t="n">
        <v>429732</v>
      </c>
    </row>
    <row r="807" customFormat="false" ht="14.25" hidden="false" customHeight="false" outlineLevel="0" collapsed="false">
      <c r="A807" s="1" t="n">
        <v>57</v>
      </c>
      <c r="C807" s="1" t="s">
        <v>558</v>
      </c>
      <c r="I807" s="1" t="n">
        <v>202100</v>
      </c>
      <c r="J807" s="1" t="n">
        <v>52000</v>
      </c>
    </row>
    <row r="808" customFormat="false" ht="14.25" hidden="false" customHeight="false" outlineLevel="0" collapsed="false">
      <c r="A808" s="1" t="n">
        <v>57</v>
      </c>
      <c r="C808" s="1" t="s">
        <v>559</v>
      </c>
      <c r="I808" s="1" t="n">
        <v>202100</v>
      </c>
      <c r="J808" s="1" t="n">
        <v>111844.93</v>
      </c>
    </row>
    <row r="809" customFormat="false" ht="14.25" hidden="false" customHeight="false" outlineLevel="0" collapsed="false">
      <c r="A809" s="1" t="n">
        <v>57</v>
      </c>
      <c r="C809" s="1" t="s">
        <v>560</v>
      </c>
      <c r="I809" s="1" t="n">
        <v>202100</v>
      </c>
      <c r="J809" s="1" t="n">
        <v>145269.85</v>
      </c>
    </row>
    <row r="810" customFormat="false" ht="14.25" hidden="false" customHeight="false" outlineLevel="0" collapsed="false">
      <c r="A810" s="1" t="n">
        <v>57</v>
      </c>
      <c r="C810" s="1" t="s">
        <v>561</v>
      </c>
      <c r="I810" s="1" t="n">
        <v>202100</v>
      </c>
      <c r="J810" s="1" t="n">
        <v>450000</v>
      </c>
    </row>
    <row r="811" customFormat="false" ht="14.25" hidden="false" customHeight="false" outlineLevel="0" collapsed="false">
      <c r="A811" s="1" t="n">
        <v>57</v>
      </c>
      <c r="C811" s="1" t="s">
        <v>562</v>
      </c>
      <c r="I811" s="1" t="n">
        <v>202100</v>
      </c>
      <c r="J811" s="1" t="n">
        <v>20000</v>
      </c>
    </row>
    <row r="812" customFormat="false" ht="14.25" hidden="false" customHeight="false" outlineLevel="0" collapsed="false">
      <c r="A812" s="1" t="n">
        <v>57</v>
      </c>
      <c r="C812" s="1" t="s">
        <v>563</v>
      </c>
      <c r="I812" s="1" t="n">
        <v>202100</v>
      </c>
      <c r="J812" s="1" t="n">
        <v>5000</v>
      </c>
    </row>
    <row r="813" customFormat="false" ht="14.25" hidden="false" customHeight="false" outlineLevel="0" collapsed="false">
      <c r="A813" s="483" t="n">
        <v>57</v>
      </c>
      <c r="B813" s="483"/>
      <c r="C813" s="483" t="s">
        <v>564</v>
      </c>
      <c r="D813" s="483"/>
      <c r="E813" s="483"/>
      <c r="F813" s="483"/>
      <c r="G813" s="483"/>
      <c r="I813" s="1" t="n">
        <v>202100</v>
      </c>
      <c r="J813" s="483" t="n">
        <v>2000</v>
      </c>
    </row>
    <row r="814" customFormat="false" ht="14.25" hidden="false" customHeight="false" outlineLevel="0" collapsed="false">
      <c r="A814" s="483" t="n">
        <v>57</v>
      </c>
      <c r="B814" s="483"/>
      <c r="C814" s="483" t="s">
        <v>565</v>
      </c>
      <c r="D814" s="483"/>
      <c r="E814" s="483"/>
      <c r="F814" s="483"/>
      <c r="G814" s="483"/>
      <c r="I814" s="1" t="n">
        <v>202100</v>
      </c>
      <c r="J814" s="483" t="n">
        <v>20000</v>
      </c>
    </row>
    <row r="815" customFormat="false" ht="14.25" hidden="false" customHeight="false" outlineLevel="0" collapsed="false">
      <c r="A815" s="483" t="n">
        <v>57</v>
      </c>
      <c r="B815" s="483"/>
      <c r="C815" s="483" t="s">
        <v>566</v>
      </c>
      <c r="D815" s="483"/>
      <c r="E815" s="483"/>
      <c r="F815" s="483"/>
      <c r="G815" s="483"/>
      <c r="I815" s="1" t="n">
        <v>202100</v>
      </c>
      <c r="J815" s="483" t="n">
        <v>5000</v>
      </c>
    </row>
    <row r="816" customFormat="false" ht="14.25" hidden="false" customHeight="false" outlineLevel="0" collapsed="false">
      <c r="A816" s="483" t="n">
        <v>69</v>
      </c>
      <c r="B816" s="483"/>
      <c r="C816" s="483" t="s">
        <v>364</v>
      </c>
      <c r="D816" s="483"/>
      <c r="E816" s="483"/>
      <c r="F816" s="483"/>
      <c r="G816" s="483"/>
      <c r="I816" s="1" t="n">
        <v>202100</v>
      </c>
      <c r="J816" s="483" t="n">
        <v>6000</v>
      </c>
    </row>
    <row r="817" customFormat="false" ht="14.25" hidden="false" customHeight="false" outlineLevel="0" collapsed="false">
      <c r="A817" s="483" t="n">
        <v>69</v>
      </c>
      <c r="B817" s="483"/>
      <c r="C817" s="483" t="s">
        <v>383</v>
      </c>
      <c r="D817" s="483"/>
      <c r="E817" s="483"/>
      <c r="F817" s="483"/>
      <c r="G817" s="483"/>
      <c r="I817" s="1" t="n">
        <v>202100</v>
      </c>
      <c r="J817" s="483" t="n">
        <v>125000</v>
      </c>
    </row>
    <row r="818" customFormat="false" ht="14.25" hidden="false" customHeight="false" outlineLevel="0" collapsed="false">
      <c r="A818" s="483" t="n">
        <v>69</v>
      </c>
      <c r="B818" s="483"/>
      <c r="C818" s="483" t="s">
        <v>429</v>
      </c>
      <c r="D818" s="483"/>
      <c r="E818" s="483"/>
      <c r="F818" s="483"/>
      <c r="G818" s="483"/>
      <c r="I818" s="1" t="n">
        <v>202100</v>
      </c>
      <c r="J818" s="483" t="n">
        <v>4000</v>
      </c>
    </row>
    <row r="819" customFormat="false" ht="14.25" hidden="false" customHeight="false" outlineLevel="0" collapsed="false">
      <c r="A819" s="483" t="n">
        <v>69</v>
      </c>
      <c r="B819" s="483"/>
      <c r="C819" s="483" t="s">
        <v>479</v>
      </c>
      <c r="D819" s="483"/>
      <c r="E819" s="483"/>
      <c r="F819" s="483"/>
      <c r="G819" s="483"/>
      <c r="I819" s="1" t="n">
        <v>202100</v>
      </c>
      <c r="J819" s="483" t="n">
        <v>7000</v>
      </c>
    </row>
    <row r="820" customFormat="false" ht="14.25" hidden="false" customHeight="false" outlineLevel="0" collapsed="false">
      <c r="A820" s="483" t="n">
        <v>69</v>
      </c>
      <c r="B820" s="483"/>
      <c r="C820" s="483" t="s">
        <v>480</v>
      </c>
      <c r="D820" s="483"/>
      <c r="E820" s="483"/>
      <c r="F820" s="483"/>
      <c r="G820" s="483"/>
      <c r="I820" s="1" t="n">
        <v>202100</v>
      </c>
      <c r="J820" s="483" t="n">
        <v>7000</v>
      </c>
    </row>
    <row r="821" customFormat="false" ht="14.25" hidden="false" customHeight="false" outlineLevel="0" collapsed="false">
      <c r="A821" s="483" t="n">
        <v>69</v>
      </c>
      <c r="B821" s="483"/>
      <c r="C821" s="483" t="s">
        <v>491</v>
      </c>
      <c r="D821" s="483"/>
      <c r="E821" s="483"/>
      <c r="F821" s="483"/>
      <c r="G821" s="483"/>
      <c r="I821" s="1" t="n">
        <v>202100</v>
      </c>
      <c r="J821" s="483" t="n">
        <v>176000</v>
      </c>
    </row>
    <row r="822" customFormat="false" ht="14.25" hidden="false" customHeight="false" outlineLevel="0" collapsed="false">
      <c r="A822" s="483" t="n">
        <v>69</v>
      </c>
      <c r="B822" s="483"/>
      <c r="C822" s="483" t="s">
        <v>507</v>
      </c>
      <c r="D822" s="483"/>
      <c r="E822" s="483"/>
      <c r="F822" s="483"/>
      <c r="G822" s="483"/>
      <c r="I822" s="1" t="n">
        <v>202100</v>
      </c>
      <c r="J822" s="483" t="n">
        <v>32000</v>
      </c>
    </row>
    <row r="823" customFormat="false" ht="14.25" hidden="false" customHeight="false" outlineLevel="0" collapsed="false">
      <c r="A823" s="483" t="n">
        <v>69</v>
      </c>
      <c r="B823" s="483"/>
      <c r="C823" s="483" t="s">
        <v>514</v>
      </c>
      <c r="D823" s="483"/>
      <c r="E823" s="483"/>
      <c r="F823" s="483"/>
      <c r="G823" s="483"/>
      <c r="I823" s="1" t="n">
        <v>202100</v>
      </c>
      <c r="J823" s="483" t="n">
        <v>31000</v>
      </c>
    </row>
    <row r="824" customFormat="false" ht="14.25" hidden="false" customHeight="false" outlineLevel="0" collapsed="false">
      <c r="A824" s="483" t="n">
        <v>69</v>
      </c>
      <c r="B824" s="483"/>
      <c r="C824" s="483" t="s">
        <v>522</v>
      </c>
      <c r="D824" s="483"/>
      <c r="E824" s="483"/>
      <c r="F824" s="483"/>
      <c r="G824" s="483"/>
      <c r="I824" s="1" t="n">
        <v>202100</v>
      </c>
      <c r="J824" s="483" t="n">
        <v>30000</v>
      </c>
    </row>
    <row r="825" customFormat="false" ht="14.25" hidden="false" customHeight="false" outlineLevel="0" collapsed="false">
      <c r="A825" s="483" t="n">
        <v>69</v>
      </c>
      <c r="B825" s="483"/>
      <c r="C825" s="483" t="s">
        <v>531</v>
      </c>
      <c r="D825" s="483"/>
      <c r="E825" s="483"/>
      <c r="F825" s="483"/>
      <c r="G825" s="483"/>
      <c r="I825" s="1" t="n">
        <v>202100</v>
      </c>
      <c r="J825" s="483" t="n">
        <v>3359.35</v>
      </c>
    </row>
    <row r="826" customFormat="false" ht="14.25" hidden="false" customHeight="false" outlineLevel="0" collapsed="false">
      <c r="A826" s="483" t="n">
        <v>69</v>
      </c>
      <c r="B826" s="483"/>
      <c r="C826" s="483" t="s">
        <v>532</v>
      </c>
      <c r="D826" s="483"/>
      <c r="E826" s="483"/>
      <c r="F826" s="483"/>
      <c r="G826" s="483"/>
      <c r="I826" s="1" t="n">
        <v>202100</v>
      </c>
      <c r="J826" s="483" t="n">
        <v>2325.7</v>
      </c>
    </row>
    <row r="827" customFormat="false" ht="14.25" hidden="false" customHeight="false" outlineLevel="0" collapsed="false">
      <c r="A827" s="483" t="n">
        <v>69</v>
      </c>
      <c r="B827" s="483"/>
      <c r="C827" s="483" t="s">
        <v>539</v>
      </c>
      <c r="D827" s="483"/>
      <c r="E827" s="483"/>
      <c r="F827" s="483"/>
      <c r="G827" s="483"/>
      <c r="I827" s="1" t="n">
        <v>202100</v>
      </c>
      <c r="J827" s="483" t="n">
        <v>35100</v>
      </c>
    </row>
    <row r="828" customFormat="false" ht="14.25" hidden="false" customHeight="false" outlineLevel="0" collapsed="false">
      <c r="A828" s="483" t="n">
        <v>69</v>
      </c>
      <c r="B828" s="483"/>
      <c r="C828" s="483" t="s">
        <v>540</v>
      </c>
      <c r="D828" s="483"/>
      <c r="E828" s="483"/>
      <c r="F828" s="483"/>
      <c r="G828" s="483"/>
      <c r="I828" s="1" t="n">
        <v>202100</v>
      </c>
      <c r="J828" s="483" t="n">
        <v>24300</v>
      </c>
    </row>
    <row r="829" customFormat="false" ht="14.25" hidden="false" customHeight="false" outlineLevel="0" collapsed="false">
      <c r="A829" s="483" t="n">
        <v>69</v>
      </c>
      <c r="B829" s="483"/>
      <c r="C829" s="483" t="s">
        <v>541</v>
      </c>
      <c r="D829" s="483"/>
      <c r="E829" s="483"/>
      <c r="F829" s="483"/>
      <c r="G829" s="483"/>
      <c r="I829" s="1" t="n">
        <v>202100</v>
      </c>
      <c r="J829" s="483" t="n">
        <v>10265</v>
      </c>
    </row>
    <row r="830" customFormat="false" ht="14.25" hidden="false" customHeight="false" outlineLevel="0" collapsed="false">
      <c r="A830" s="483" t="n">
        <v>69</v>
      </c>
      <c r="B830" s="483"/>
      <c r="C830" s="483" t="s">
        <v>543</v>
      </c>
      <c r="D830" s="483"/>
      <c r="E830" s="483"/>
      <c r="F830" s="483"/>
      <c r="G830" s="483"/>
      <c r="I830" s="1" t="n">
        <v>202100</v>
      </c>
      <c r="J830" s="483" t="n">
        <v>15504.67</v>
      </c>
    </row>
    <row r="831" customFormat="false" ht="14.25" hidden="false" customHeight="false" outlineLevel="0" collapsed="false">
      <c r="A831" s="483" t="n">
        <v>69</v>
      </c>
      <c r="B831" s="483"/>
      <c r="C831" s="483" t="s">
        <v>544</v>
      </c>
      <c r="D831" s="483"/>
      <c r="E831" s="483"/>
      <c r="F831" s="483"/>
      <c r="G831" s="483"/>
      <c r="I831" s="1" t="n">
        <v>202100</v>
      </c>
      <c r="J831" s="483" t="n">
        <v>4651.4</v>
      </c>
    </row>
    <row r="832" customFormat="false" ht="14.25" hidden="false" customHeight="false" outlineLevel="0" collapsed="false">
      <c r="A832" s="483" t="n">
        <v>69</v>
      </c>
      <c r="B832" s="483"/>
      <c r="C832" s="483" t="s">
        <v>549</v>
      </c>
      <c r="D832" s="483"/>
      <c r="E832" s="483"/>
      <c r="F832" s="483"/>
      <c r="G832" s="483"/>
      <c r="I832" s="1" t="n">
        <v>202100</v>
      </c>
      <c r="J832" s="483" t="n">
        <v>162000</v>
      </c>
    </row>
    <row r="833" customFormat="false" ht="14.25" hidden="false" customHeight="false" outlineLevel="0" collapsed="false">
      <c r="A833" s="483" t="n">
        <v>69</v>
      </c>
      <c r="B833" s="483"/>
      <c r="C833" s="483" t="s">
        <v>550</v>
      </c>
      <c r="D833" s="483"/>
      <c r="E833" s="483"/>
      <c r="F833" s="483"/>
      <c r="G833" s="483"/>
      <c r="I833" s="1" t="n">
        <v>202100</v>
      </c>
      <c r="J833" s="483" t="n">
        <v>48600</v>
      </c>
    </row>
    <row r="835" customFormat="false" ht="14.25" hidden="false" customHeight="false" outlineLevel="0" collapsed="false">
      <c r="A835" s="483"/>
      <c r="B835" s="483"/>
      <c r="C835" s="483"/>
      <c r="D835" s="483"/>
      <c r="E835" s="483"/>
      <c r="F835" s="483"/>
      <c r="G835" s="483"/>
      <c r="H835" s="483"/>
      <c r="I835" s="483"/>
      <c r="J835" s="483"/>
    </row>
    <row r="836" customFormat="false" ht="14.25" hidden="false" customHeight="false" outlineLevel="0" collapsed="false">
      <c r="A836" s="483"/>
      <c r="B836" s="483"/>
      <c r="C836" s="483"/>
      <c r="D836" s="483"/>
      <c r="E836" s="483"/>
      <c r="F836" s="483"/>
      <c r="G836" s="483"/>
      <c r="H836" s="483"/>
      <c r="I836" s="483"/>
      <c r="J836" s="483"/>
    </row>
    <row r="837" customFormat="false" ht="14.25" hidden="false" customHeight="false" outlineLevel="0" collapsed="false">
      <c r="A837" s="483"/>
      <c r="B837" s="483"/>
      <c r="C837" s="483"/>
      <c r="D837" s="483"/>
      <c r="E837" s="483"/>
      <c r="F837" s="483"/>
      <c r="G837" s="483"/>
      <c r="H837" s="483"/>
      <c r="I837" s="483"/>
      <c r="J837" s="483"/>
    </row>
    <row r="838" customFormat="false" ht="14.25" hidden="false" customHeight="false" outlineLevel="0" collapsed="false">
      <c r="A838" s="483"/>
      <c r="B838" s="483"/>
      <c r="C838" s="483"/>
      <c r="D838" s="483"/>
      <c r="E838" s="483"/>
      <c r="F838" s="483"/>
      <c r="G838" s="483"/>
      <c r="H838" s="483"/>
      <c r="I838" s="483"/>
      <c r="J838" s="483"/>
    </row>
    <row r="839" customFormat="false" ht="14.25" hidden="false" customHeight="false" outlineLevel="0" collapsed="false">
      <c r="A839" s="483"/>
      <c r="B839" s="483"/>
      <c r="C839" s="483"/>
      <c r="D839" s="483"/>
      <c r="E839" s="483"/>
      <c r="F839" s="483"/>
      <c r="G839" s="483"/>
      <c r="H839" s="483"/>
      <c r="I839" s="483"/>
      <c r="J839" s="483"/>
    </row>
    <row r="840" customFormat="false" ht="14.25" hidden="false" customHeight="false" outlineLevel="0" collapsed="false">
      <c r="A840" s="483"/>
      <c r="B840" s="483"/>
      <c r="C840" s="483"/>
      <c r="D840" s="483"/>
      <c r="E840" s="483"/>
      <c r="F840" s="483"/>
      <c r="G840" s="483"/>
      <c r="H840" s="483"/>
      <c r="I840" s="483"/>
      <c r="J840" s="483"/>
    </row>
    <row r="841" customFormat="false" ht="14.25" hidden="false" customHeight="false" outlineLevel="0" collapsed="false">
      <c r="A841" s="483"/>
      <c r="B841" s="483"/>
      <c r="C841" s="483"/>
      <c r="D841" s="483"/>
      <c r="E841" s="483"/>
      <c r="F841" s="483"/>
      <c r="G841" s="483"/>
      <c r="H841" s="483"/>
      <c r="I841" s="483"/>
      <c r="J841" s="483"/>
    </row>
    <row r="842" customFormat="false" ht="14.25" hidden="false" customHeight="false" outlineLevel="0" collapsed="false">
      <c r="A842" s="483"/>
      <c r="B842" s="483"/>
      <c r="C842" s="483"/>
      <c r="D842" s="483"/>
      <c r="E842" s="483"/>
      <c r="F842" s="483"/>
      <c r="G842" s="483"/>
      <c r="H842" s="483"/>
      <c r="I842" s="483"/>
      <c r="J842" s="483"/>
    </row>
    <row r="843" customFormat="false" ht="14.25" hidden="false" customHeight="false" outlineLevel="0" collapsed="false">
      <c r="A843" s="483"/>
      <c r="B843" s="483"/>
      <c r="C843" s="483"/>
      <c r="D843" s="483"/>
      <c r="E843" s="483"/>
      <c r="F843" s="483"/>
      <c r="G843" s="483"/>
      <c r="H843" s="483"/>
      <c r="I843" s="483"/>
      <c r="J843" s="483"/>
    </row>
    <row r="844" customFormat="false" ht="14.25" hidden="false" customHeight="false" outlineLevel="0" collapsed="false">
      <c r="A844" s="483"/>
      <c r="B844" s="483"/>
      <c r="C844" s="483"/>
      <c r="D844" s="483"/>
      <c r="E844" s="483"/>
      <c r="F844" s="483"/>
      <c r="G844" s="483"/>
      <c r="H844" s="483"/>
      <c r="I844" s="483"/>
      <c r="J844" s="483"/>
    </row>
    <row r="845" customFormat="false" ht="14.25" hidden="false" customHeight="false" outlineLevel="0" collapsed="false">
      <c r="A845" s="483"/>
      <c r="B845" s="483"/>
      <c r="C845" s="483"/>
      <c r="D845" s="483"/>
      <c r="E845" s="483"/>
      <c r="F845" s="483"/>
      <c r="G845" s="483"/>
      <c r="H845" s="483"/>
      <c r="I845" s="483"/>
      <c r="J845" s="483"/>
    </row>
    <row r="846" customFormat="false" ht="14.25" hidden="false" customHeight="false" outlineLevel="0" collapsed="false">
      <c r="A846" s="483"/>
      <c r="B846" s="483"/>
      <c r="C846" s="483"/>
      <c r="D846" s="483"/>
      <c r="E846" s="483"/>
      <c r="F846" s="483"/>
      <c r="G846" s="483"/>
      <c r="H846" s="483"/>
      <c r="I846" s="483"/>
      <c r="J846" s="483"/>
    </row>
    <row r="847" customFormat="false" ht="14.25" hidden="false" customHeight="false" outlineLevel="0" collapsed="false">
      <c r="A847" s="483"/>
      <c r="B847" s="483"/>
      <c r="C847" s="483"/>
      <c r="D847" s="483"/>
      <c r="E847" s="483"/>
      <c r="F847" s="483"/>
      <c r="G847" s="483"/>
      <c r="H847" s="483"/>
      <c r="I847" s="483"/>
      <c r="J847" s="483"/>
    </row>
    <row r="848" customFormat="false" ht="14.25" hidden="false" customHeight="false" outlineLevel="0" collapsed="false">
      <c r="A848" s="483"/>
      <c r="B848" s="483"/>
      <c r="C848" s="483"/>
      <c r="D848" s="483"/>
      <c r="E848" s="483"/>
      <c r="F848" s="483"/>
      <c r="G848" s="483"/>
      <c r="H848" s="483"/>
      <c r="I848" s="483"/>
      <c r="J848" s="483"/>
    </row>
    <row r="849" customFormat="false" ht="14.25" hidden="false" customHeight="false" outlineLevel="0" collapsed="false">
      <c r="A849" s="483"/>
      <c r="B849" s="483"/>
      <c r="C849" s="483"/>
      <c r="D849" s="483"/>
      <c r="E849" s="483"/>
      <c r="F849" s="483"/>
      <c r="G849" s="483"/>
      <c r="H849" s="483"/>
      <c r="I849" s="483"/>
      <c r="J849" s="483"/>
    </row>
    <row r="850" customFormat="false" ht="14.25" hidden="false" customHeight="false" outlineLevel="0" collapsed="false">
      <c r="A850" s="483"/>
      <c r="B850" s="483"/>
      <c r="C850" s="483"/>
      <c r="D850" s="483"/>
      <c r="E850" s="483"/>
      <c r="F850" s="483"/>
      <c r="G850" s="483"/>
      <c r="H850" s="483"/>
      <c r="I850" s="483"/>
      <c r="J850" s="483"/>
    </row>
    <row r="851" customFormat="false" ht="14.25" hidden="false" customHeight="false" outlineLevel="0" collapsed="false">
      <c r="A851" s="483"/>
      <c r="B851" s="483"/>
      <c r="C851" s="483"/>
      <c r="D851" s="483"/>
      <c r="E851" s="483"/>
      <c r="F851" s="483"/>
      <c r="G851" s="483"/>
      <c r="H851" s="483"/>
      <c r="I851" s="483"/>
      <c r="J851" s="483"/>
    </row>
    <row r="852" customFormat="false" ht="14.25" hidden="false" customHeight="false" outlineLevel="0" collapsed="false">
      <c r="A852" s="483"/>
      <c r="B852" s="483"/>
      <c r="C852" s="483"/>
      <c r="D852" s="483"/>
      <c r="E852" s="483"/>
      <c r="F852" s="483"/>
      <c r="G852" s="483"/>
      <c r="H852" s="483"/>
      <c r="I852" s="483"/>
      <c r="J852" s="483"/>
    </row>
    <row r="853" customFormat="false" ht="14.25" hidden="false" customHeight="false" outlineLevel="0" collapsed="false">
      <c r="A853" s="483"/>
      <c r="B853" s="483"/>
      <c r="C853" s="483"/>
      <c r="D853" s="483"/>
      <c r="E853" s="483"/>
      <c r="F853" s="483"/>
      <c r="G853" s="483"/>
      <c r="H853" s="483"/>
      <c r="I853" s="483"/>
      <c r="J853" s="483"/>
    </row>
    <row r="854" customFormat="false" ht="14.25" hidden="false" customHeight="false" outlineLevel="0" collapsed="false">
      <c r="A854" s="483"/>
      <c r="B854" s="483"/>
      <c r="C854" s="483"/>
      <c r="D854" s="483"/>
      <c r="E854" s="483"/>
      <c r="F854" s="483"/>
      <c r="G854" s="483"/>
      <c r="H854" s="483"/>
      <c r="I854" s="483"/>
      <c r="J854" s="483"/>
    </row>
    <row r="855" customFormat="false" ht="14.25" hidden="false" customHeight="false" outlineLevel="0" collapsed="false">
      <c r="A855" s="483"/>
      <c r="B855" s="483"/>
      <c r="C855" s="483"/>
      <c r="D855" s="483"/>
      <c r="E855" s="483"/>
      <c r="F855" s="483"/>
      <c r="G855" s="483"/>
      <c r="H855" s="483"/>
      <c r="I855" s="483"/>
      <c r="J855" s="483"/>
    </row>
    <row r="856" customFormat="false" ht="14.25" hidden="false" customHeight="false" outlineLevel="0" collapsed="false">
      <c r="A856" s="483"/>
      <c r="B856" s="483"/>
      <c r="C856" s="483"/>
      <c r="D856" s="483"/>
      <c r="E856" s="483"/>
      <c r="F856" s="483"/>
      <c r="G856" s="483"/>
      <c r="H856" s="483"/>
      <c r="I856" s="483"/>
      <c r="J856" s="483"/>
    </row>
    <row r="857" customFormat="false" ht="14.25" hidden="false" customHeight="false" outlineLevel="0" collapsed="false">
      <c r="A857" s="483"/>
      <c r="B857" s="483"/>
      <c r="C857" s="483"/>
      <c r="D857" s="483"/>
      <c r="E857" s="483"/>
      <c r="F857" s="483"/>
      <c r="G857" s="483"/>
      <c r="H857" s="483"/>
      <c r="I857" s="483"/>
      <c r="J857" s="483"/>
    </row>
    <row r="858" customFormat="false" ht="14.25" hidden="false" customHeight="false" outlineLevel="0" collapsed="false">
      <c r="A858" s="483"/>
      <c r="B858" s="483"/>
      <c r="C858" s="483"/>
      <c r="D858" s="483"/>
      <c r="E858" s="483"/>
      <c r="F858" s="483"/>
      <c r="G858" s="483"/>
      <c r="H858" s="483"/>
      <c r="I858" s="483"/>
      <c r="J858" s="483"/>
    </row>
    <row r="859" customFormat="false" ht="14.25" hidden="false" customHeight="false" outlineLevel="0" collapsed="false">
      <c r="A859" s="483"/>
      <c r="B859" s="483"/>
      <c r="C859" s="483"/>
      <c r="D859" s="483"/>
      <c r="E859" s="483"/>
      <c r="F859" s="483"/>
      <c r="G859" s="483"/>
      <c r="H859" s="483"/>
      <c r="I859" s="483"/>
      <c r="J859" s="483"/>
    </row>
    <row r="860" customFormat="false" ht="14.25" hidden="false" customHeight="false" outlineLevel="0" collapsed="false">
      <c r="A860" s="483"/>
      <c r="B860" s="483"/>
      <c r="C860" s="483"/>
      <c r="D860" s="483"/>
      <c r="E860" s="483"/>
      <c r="F860" s="483"/>
      <c r="G860" s="483"/>
      <c r="H860" s="483"/>
      <c r="I860" s="483"/>
      <c r="J860" s="483"/>
    </row>
    <row r="861" customFormat="false" ht="14.25" hidden="false" customHeight="false" outlineLevel="0" collapsed="false">
      <c r="A861" s="483"/>
      <c r="B861" s="483"/>
      <c r="C861" s="483"/>
      <c r="D861" s="483"/>
      <c r="E861" s="483"/>
      <c r="F861" s="483"/>
      <c r="G861" s="483"/>
      <c r="H861" s="483"/>
      <c r="I861" s="483"/>
      <c r="J861" s="483"/>
    </row>
    <row r="862" customFormat="false" ht="14.25" hidden="false" customHeight="false" outlineLevel="0" collapsed="false">
      <c r="A862" s="483"/>
      <c r="B862" s="483"/>
      <c r="C862" s="483"/>
      <c r="D862" s="483"/>
      <c r="E862" s="483"/>
      <c r="F862" s="483"/>
      <c r="G862" s="483"/>
      <c r="H862" s="483"/>
      <c r="I862" s="483"/>
      <c r="J862" s="483"/>
    </row>
    <row r="863" customFormat="false" ht="14.25" hidden="false" customHeight="false" outlineLevel="0" collapsed="false">
      <c r="A863" s="483"/>
      <c r="B863" s="483"/>
      <c r="C863" s="483"/>
      <c r="D863" s="483"/>
      <c r="E863" s="483"/>
      <c r="F863" s="483"/>
      <c r="G863" s="483"/>
      <c r="H863" s="483"/>
      <c r="I863" s="483"/>
      <c r="J863" s="483"/>
    </row>
    <row r="864" customFormat="false" ht="14.25" hidden="false" customHeight="false" outlineLevel="0" collapsed="false">
      <c r="A864" s="483"/>
      <c r="B864" s="483"/>
      <c r="C864" s="483"/>
      <c r="D864" s="483"/>
      <c r="E864" s="483"/>
      <c r="F864" s="483"/>
      <c r="G864" s="483"/>
      <c r="H864" s="483"/>
      <c r="I864" s="483"/>
      <c r="J864" s="483"/>
    </row>
    <row r="865" customFormat="false" ht="14.25" hidden="false" customHeight="false" outlineLevel="0" collapsed="false">
      <c r="A865" s="483"/>
      <c r="B865" s="483"/>
      <c r="C865" s="483"/>
      <c r="D865" s="483"/>
      <c r="E865" s="483"/>
      <c r="F865" s="483"/>
      <c r="G865" s="483"/>
      <c r="H865" s="483"/>
      <c r="I865" s="483"/>
      <c r="J865" s="483"/>
    </row>
    <row r="866" customFormat="false" ht="14.25" hidden="false" customHeight="false" outlineLevel="0" collapsed="false">
      <c r="A866" s="483"/>
      <c r="B866" s="483"/>
      <c r="C866" s="483"/>
      <c r="D866" s="483"/>
      <c r="E866" s="483"/>
      <c r="F866" s="483"/>
      <c r="G866" s="483"/>
      <c r="H866" s="483"/>
      <c r="I866" s="483"/>
      <c r="J866" s="483"/>
    </row>
    <row r="867" customFormat="false" ht="14.25" hidden="false" customHeight="false" outlineLevel="0" collapsed="false">
      <c r="A867" s="483"/>
      <c r="B867" s="483"/>
      <c r="C867" s="483"/>
      <c r="D867" s="483"/>
      <c r="E867" s="483"/>
      <c r="F867" s="483"/>
      <c r="G867" s="483"/>
      <c r="H867" s="483"/>
      <c r="I867" s="483"/>
      <c r="J867" s="483"/>
    </row>
    <row r="868" customFormat="false" ht="14.25" hidden="false" customHeight="false" outlineLevel="0" collapsed="false">
      <c r="A868" s="483"/>
      <c r="B868" s="483"/>
      <c r="C868" s="483"/>
      <c r="D868" s="483"/>
      <c r="E868" s="483"/>
      <c r="F868" s="483"/>
      <c r="G868" s="483"/>
      <c r="H868" s="483"/>
      <c r="I868" s="483"/>
      <c r="J868" s="483"/>
    </row>
    <row r="869" customFormat="false" ht="14.25" hidden="false" customHeight="false" outlineLevel="0" collapsed="false">
      <c r="A869" s="483"/>
      <c r="B869" s="483"/>
      <c r="C869" s="483"/>
      <c r="D869" s="483"/>
      <c r="E869" s="483"/>
      <c r="F869" s="483"/>
      <c r="G869" s="483"/>
      <c r="H869" s="483"/>
      <c r="I869" s="483"/>
      <c r="J869" s="483"/>
    </row>
    <row r="870" customFormat="false" ht="14.25" hidden="false" customHeight="false" outlineLevel="0" collapsed="false">
      <c r="A870" s="483"/>
      <c r="B870" s="483"/>
      <c r="C870" s="483"/>
      <c r="D870" s="483"/>
      <c r="E870" s="483"/>
      <c r="F870" s="483"/>
      <c r="G870" s="483"/>
      <c r="H870" s="483"/>
      <c r="I870" s="483"/>
      <c r="J870" s="483"/>
    </row>
    <row r="871" customFormat="false" ht="14.25" hidden="false" customHeight="false" outlineLevel="0" collapsed="false">
      <c r="A871" s="483"/>
      <c r="B871" s="483"/>
      <c r="C871" s="483"/>
      <c r="D871" s="483"/>
      <c r="E871" s="483"/>
      <c r="F871" s="483"/>
      <c r="G871" s="483"/>
      <c r="H871" s="483"/>
      <c r="I871" s="483"/>
      <c r="J871" s="483"/>
    </row>
    <row r="872" customFormat="false" ht="14.25" hidden="false" customHeight="false" outlineLevel="0" collapsed="false">
      <c r="A872" s="483"/>
      <c r="B872" s="483"/>
      <c r="C872" s="483"/>
      <c r="D872" s="483"/>
      <c r="E872" s="483"/>
      <c r="F872" s="483"/>
      <c r="G872" s="483"/>
      <c r="H872" s="483"/>
      <c r="I872" s="483"/>
      <c r="J872" s="483"/>
    </row>
    <row r="873" customFormat="false" ht="14.25" hidden="false" customHeight="false" outlineLevel="0" collapsed="false">
      <c r="A873" s="483"/>
      <c r="B873" s="483"/>
      <c r="C873" s="483"/>
      <c r="D873" s="483"/>
      <c r="E873" s="483"/>
      <c r="F873" s="483"/>
      <c r="G873" s="483"/>
      <c r="H873" s="483"/>
      <c r="I873" s="483"/>
      <c r="J873" s="483"/>
    </row>
    <row r="874" customFormat="false" ht="14.25" hidden="false" customHeight="false" outlineLevel="0" collapsed="false">
      <c r="A874" s="483"/>
      <c r="B874" s="483"/>
      <c r="C874" s="483"/>
      <c r="D874" s="483"/>
      <c r="E874" s="483"/>
      <c r="F874" s="483"/>
      <c r="G874" s="483"/>
      <c r="H874" s="483"/>
      <c r="I874" s="483"/>
      <c r="J874" s="483"/>
    </row>
    <row r="875" customFormat="false" ht="14.25" hidden="false" customHeight="false" outlineLevel="0" collapsed="false">
      <c r="A875" s="483"/>
      <c r="B875" s="483"/>
      <c r="C875" s="483"/>
      <c r="D875" s="483"/>
      <c r="E875" s="483"/>
      <c r="F875" s="483"/>
      <c r="G875" s="483"/>
      <c r="H875" s="483"/>
      <c r="I875" s="483"/>
      <c r="J875" s="483"/>
    </row>
    <row r="876" customFormat="false" ht="14.25" hidden="false" customHeight="false" outlineLevel="0" collapsed="false">
      <c r="A876" s="483"/>
      <c r="B876" s="483"/>
      <c r="C876" s="483"/>
      <c r="D876" s="483"/>
      <c r="E876" s="483"/>
      <c r="F876" s="483"/>
      <c r="G876" s="483"/>
      <c r="H876" s="483"/>
      <c r="I876" s="483"/>
      <c r="J876" s="483"/>
    </row>
    <row r="877" customFormat="false" ht="14.25" hidden="false" customHeight="false" outlineLevel="0" collapsed="false">
      <c r="A877" s="483"/>
      <c r="B877" s="483"/>
      <c r="C877" s="483"/>
      <c r="D877" s="483"/>
      <c r="E877" s="483"/>
      <c r="F877" s="483"/>
      <c r="G877" s="483"/>
      <c r="H877" s="483"/>
      <c r="I877" s="483"/>
      <c r="J877" s="483"/>
    </row>
    <row r="878" customFormat="false" ht="14.25" hidden="false" customHeight="false" outlineLevel="0" collapsed="false">
      <c r="A878" s="483"/>
      <c r="B878" s="483"/>
      <c r="C878" s="483"/>
      <c r="D878" s="483"/>
      <c r="E878" s="483"/>
      <c r="F878" s="483"/>
      <c r="G878" s="483"/>
      <c r="H878" s="483"/>
      <c r="I878" s="483"/>
      <c r="J878" s="483"/>
    </row>
    <row r="879" customFormat="false" ht="14.25" hidden="false" customHeight="false" outlineLevel="0" collapsed="false">
      <c r="A879" s="483"/>
      <c r="B879" s="483"/>
      <c r="C879" s="483"/>
      <c r="D879" s="483"/>
      <c r="E879" s="483"/>
      <c r="F879" s="483"/>
      <c r="G879" s="483"/>
      <c r="H879" s="483"/>
      <c r="I879" s="483"/>
      <c r="J879" s="483"/>
    </row>
    <row r="880" customFormat="false" ht="14.25" hidden="false" customHeight="false" outlineLevel="0" collapsed="false">
      <c r="A880" s="483"/>
      <c r="B880" s="483"/>
      <c r="C880" s="483"/>
      <c r="D880" s="483"/>
      <c r="E880" s="483"/>
      <c r="F880" s="483"/>
      <c r="G880" s="483"/>
      <c r="H880" s="483"/>
      <c r="I880" s="483"/>
      <c r="J880" s="483"/>
    </row>
    <row r="881" customFormat="false" ht="14.25" hidden="false" customHeight="false" outlineLevel="0" collapsed="false">
      <c r="A881" s="483"/>
      <c r="B881" s="483"/>
      <c r="C881" s="483"/>
      <c r="D881" s="483"/>
      <c r="E881" s="483"/>
      <c r="F881" s="483"/>
      <c r="G881" s="483"/>
      <c r="H881" s="483"/>
      <c r="I881" s="483"/>
      <c r="J881" s="483"/>
    </row>
    <row r="882" customFormat="false" ht="14.25" hidden="false" customHeight="false" outlineLevel="0" collapsed="false">
      <c r="A882" s="483"/>
      <c r="B882" s="483"/>
      <c r="C882" s="483"/>
      <c r="D882" s="483"/>
      <c r="E882" s="483"/>
      <c r="F882" s="483"/>
      <c r="G882" s="483"/>
      <c r="H882" s="483"/>
      <c r="I882" s="483"/>
      <c r="J882" s="483"/>
    </row>
    <row r="883" customFormat="false" ht="14.25" hidden="false" customHeight="false" outlineLevel="0" collapsed="false">
      <c r="A883" s="483"/>
      <c r="B883" s="483"/>
      <c r="C883" s="483"/>
      <c r="D883" s="483"/>
      <c r="E883" s="483"/>
      <c r="F883" s="483"/>
      <c r="G883" s="483"/>
      <c r="H883" s="483"/>
      <c r="I883" s="483"/>
      <c r="J883" s="483"/>
    </row>
    <row r="884" customFormat="false" ht="14.25" hidden="false" customHeight="false" outlineLevel="0" collapsed="false">
      <c r="A884" s="483"/>
      <c r="B884" s="483"/>
      <c r="C884" s="483"/>
      <c r="D884" s="483"/>
      <c r="E884" s="483"/>
      <c r="F884" s="483"/>
      <c r="G884" s="483"/>
      <c r="H884" s="483"/>
      <c r="I884" s="483"/>
      <c r="J884" s="483"/>
    </row>
    <row r="885" customFormat="false" ht="14.25" hidden="false" customHeight="false" outlineLevel="0" collapsed="false">
      <c r="A885" s="483"/>
      <c r="B885" s="483"/>
      <c r="C885" s="483"/>
      <c r="D885" s="483"/>
      <c r="E885" s="483"/>
      <c r="F885" s="483"/>
      <c r="G885" s="483"/>
      <c r="H885" s="483"/>
      <c r="I885" s="483"/>
      <c r="J885" s="483"/>
    </row>
    <row r="886" customFormat="false" ht="14.25" hidden="false" customHeight="false" outlineLevel="0" collapsed="false">
      <c r="A886" s="483"/>
      <c r="B886" s="483"/>
      <c r="C886" s="483"/>
      <c r="D886" s="483"/>
      <c r="E886" s="483"/>
      <c r="F886" s="483"/>
      <c r="G886" s="483"/>
      <c r="H886" s="483"/>
      <c r="I886" s="483"/>
      <c r="J886" s="483"/>
    </row>
    <row r="887" customFormat="false" ht="14.25" hidden="false" customHeight="false" outlineLevel="0" collapsed="false">
      <c r="A887" s="483"/>
      <c r="B887" s="483"/>
      <c r="C887" s="483"/>
      <c r="D887" s="483"/>
      <c r="E887" s="483"/>
      <c r="F887" s="483"/>
      <c r="G887" s="483"/>
      <c r="H887" s="483"/>
      <c r="I887" s="483"/>
      <c r="J887" s="483"/>
    </row>
    <row r="888" customFormat="false" ht="14.25" hidden="false" customHeight="false" outlineLevel="0" collapsed="false">
      <c r="A888" s="483"/>
      <c r="B888" s="483"/>
      <c r="C888" s="483"/>
      <c r="D888" s="483"/>
      <c r="E888" s="483"/>
      <c r="F888" s="483"/>
      <c r="G888" s="483"/>
      <c r="H888" s="483"/>
      <c r="I888" s="483"/>
      <c r="J888" s="483"/>
    </row>
    <row r="889" customFormat="false" ht="14.25" hidden="false" customHeight="false" outlineLevel="0" collapsed="false">
      <c r="A889" s="483"/>
      <c r="B889" s="483"/>
      <c r="C889" s="483"/>
      <c r="D889" s="483"/>
      <c r="E889" s="483"/>
      <c r="F889" s="483"/>
      <c r="G889" s="483"/>
      <c r="H889" s="483"/>
      <c r="I889" s="483"/>
      <c r="J889" s="483"/>
    </row>
    <row r="890" customFormat="false" ht="14.25" hidden="false" customHeight="false" outlineLevel="0" collapsed="false">
      <c r="A890" s="483"/>
      <c r="B890" s="483"/>
      <c r="C890" s="483"/>
      <c r="D890" s="483"/>
      <c r="E890" s="483"/>
      <c r="F890" s="483"/>
      <c r="G890" s="483"/>
      <c r="H890" s="483"/>
      <c r="I890" s="483"/>
      <c r="J890" s="483"/>
    </row>
    <row r="891" customFormat="false" ht="14.25" hidden="false" customHeight="false" outlineLevel="0" collapsed="false">
      <c r="A891" s="483"/>
      <c r="B891" s="483"/>
      <c r="C891" s="483"/>
      <c r="D891" s="483"/>
      <c r="E891" s="483"/>
      <c r="F891" s="483"/>
      <c r="G891" s="483"/>
      <c r="H891" s="483"/>
      <c r="I891" s="483"/>
      <c r="J891" s="483"/>
    </row>
    <row r="892" customFormat="false" ht="14.25" hidden="false" customHeight="false" outlineLevel="0" collapsed="false">
      <c r="A892" s="483"/>
      <c r="B892" s="483"/>
      <c r="C892" s="483"/>
      <c r="D892" s="483"/>
      <c r="E892" s="483"/>
      <c r="F892" s="483"/>
      <c r="G892" s="483"/>
      <c r="H892" s="483"/>
      <c r="I892" s="483"/>
      <c r="J892" s="483"/>
    </row>
    <row r="893" customFormat="false" ht="14.25" hidden="false" customHeight="false" outlineLevel="0" collapsed="false">
      <c r="A893" s="483"/>
      <c r="B893" s="483"/>
      <c r="C893" s="483"/>
      <c r="D893" s="483"/>
      <c r="E893" s="483"/>
      <c r="F893" s="483"/>
      <c r="G893" s="483"/>
      <c r="H893" s="483"/>
      <c r="I893" s="483"/>
      <c r="J893" s="483"/>
    </row>
    <row r="894" customFormat="false" ht="14.25" hidden="false" customHeight="false" outlineLevel="0" collapsed="false">
      <c r="A894" s="483"/>
      <c r="B894" s="483"/>
      <c r="C894" s="483"/>
      <c r="D894" s="483"/>
      <c r="E894" s="483"/>
      <c r="F894" s="483"/>
      <c r="G894" s="483"/>
      <c r="H894" s="483"/>
      <c r="I894" s="483"/>
      <c r="J894" s="483"/>
    </row>
    <row r="895" customFormat="false" ht="14.25" hidden="false" customHeight="false" outlineLevel="0" collapsed="false">
      <c r="A895" s="483"/>
      <c r="B895" s="483"/>
      <c r="C895" s="483"/>
      <c r="D895" s="483"/>
      <c r="E895" s="483"/>
      <c r="F895" s="483"/>
      <c r="G895" s="483"/>
      <c r="H895" s="483"/>
      <c r="I895" s="483"/>
      <c r="J895" s="483"/>
    </row>
    <row r="896" customFormat="false" ht="14.25" hidden="false" customHeight="false" outlineLevel="0" collapsed="false">
      <c r="A896" s="483"/>
      <c r="B896" s="483"/>
      <c r="C896" s="483"/>
      <c r="D896" s="483"/>
      <c r="E896" s="483"/>
      <c r="F896" s="483"/>
      <c r="G896" s="483"/>
      <c r="H896" s="483"/>
      <c r="I896" s="483"/>
      <c r="J896" s="483"/>
    </row>
    <row r="897" customFormat="false" ht="14.25" hidden="false" customHeight="false" outlineLevel="0" collapsed="false">
      <c r="A897" s="483"/>
      <c r="B897" s="483"/>
      <c r="C897" s="483"/>
      <c r="D897" s="483"/>
      <c r="E897" s="483"/>
      <c r="F897" s="483"/>
      <c r="G897" s="483"/>
      <c r="H897" s="483"/>
      <c r="I897" s="483"/>
      <c r="J897" s="483"/>
    </row>
    <row r="898" customFormat="false" ht="14.25" hidden="false" customHeight="false" outlineLevel="0" collapsed="false">
      <c r="A898" s="483"/>
      <c r="B898" s="483"/>
      <c r="C898" s="483"/>
      <c r="D898" s="483"/>
      <c r="E898" s="483"/>
      <c r="F898" s="483"/>
      <c r="G898" s="483"/>
      <c r="H898" s="483"/>
      <c r="I898" s="483"/>
      <c r="J898" s="483"/>
    </row>
    <row r="899" customFormat="false" ht="14.25" hidden="false" customHeight="false" outlineLevel="0" collapsed="false">
      <c r="A899" s="483"/>
      <c r="B899" s="483"/>
      <c r="C899" s="483"/>
      <c r="D899" s="483"/>
      <c r="E899" s="483"/>
      <c r="F899" s="483"/>
      <c r="G899" s="483"/>
      <c r="H899" s="483"/>
      <c r="I899" s="483"/>
      <c r="J899" s="483"/>
    </row>
    <row r="900" customFormat="false" ht="14.25" hidden="false" customHeight="false" outlineLevel="0" collapsed="false">
      <c r="A900" s="483"/>
      <c r="B900" s="483"/>
      <c r="C900" s="483"/>
      <c r="D900" s="483"/>
      <c r="E900" s="483"/>
      <c r="F900" s="483"/>
      <c r="G900" s="483"/>
      <c r="H900" s="483"/>
      <c r="I900" s="483"/>
      <c r="J900" s="483"/>
    </row>
    <row r="901" customFormat="false" ht="14.25" hidden="false" customHeight="false" outlineLevel="0" collapsed="false">
      <c r="A901" s="483"/>
      <c r="B901" s="483"/>
      <c r="C901" s="483"/>
      <c r="D901" s="483"/>
      <c r="E901" s="483"/>
      <c r="F901" s="483"/>
      <c r="G901" s="483"/>
      <c r="H901" s="483"/>
      <c r="I901" s="483"/>
      <c r="J901" s="483"/>
    </row>
    <row r="902" customFormat="false" ht="14.25" hidden="false" customHeight="false" outlineLevel="0" collapsed="false">
      <c r="A902" s="483"/>
      <c r="B902" s="483"/>
      <c r="C902" s="483"/>
      <c r="D902" s="483"/>
      <c r="E902" s="483"/>
      <c r="F902" s="483"/>
      <c r="G902" s="483"/>
      <c r="H902" s="483"/>
      <c r="I902" s="483"/>
      <c r="J902" s="483"/>
    </row>
    <row r="903" customFormat="false" ht="14.25" hidden="false" customHeight="false" outlineLevel="0" collapsed="false">
      <c r="A903" s="483"/>
      <c r="B903" s="483"/>
      <c r="C903" s="483"/>
      <c r="D903" s="483"/>
      <c r="E903" s="483"/>
      <c r="F903" s="483"/>
      <c r="G903" s="483"/>
      <c r="H903" s="483"/>
      <c r="I903" s="483"/>
      <c r="J903" s="483"/>
    </row>
    <row r="904" customFormat="false" ht="14.25" hidden="false" customHeight="false" outlineLevel="0" collapsed="false">
      <c r="A904" s="483"/>
      <c r="B904" s="483"/>
      <c r="C904" s="483"/>
      <c r="D904" s="483"/>
      <c r="E904" s="483"/>
      <c r="F904" s="483"/>
      <c r="G904" s="483"/>
      <c r="H904" s="483"/>
      <c r="I904" s="483"/>
      <c r="J904" s="483"/>
    </row>
    <row r="905" customFormat="false" ht="14.25" hidden="false" customHeight="false" outlineLevel="0" collapsed="false">
      <c r="A905" s="483"/>
      <c r="B905" s="483"/>
      <c r="C905" s="483"/>
      <c r="D905" s="483"/>
      <c r="E905" s="483"/>
      <c r="F905" s="483"/>
      <c r="G905" s="483"/>
      <c r="H905" s="483"/>
      <c r="I905" s="483"/>
      <c r="J905" s="483"/>
    </row>
    <row r="906" customFormat="false" ht="14.25" hidden="false" customHeight="false" outlineLevel="0" collapsed="false">
      <c r="A906" s="483"/>
      <c r="B906" s="483"/>
      <c r="C906" s="483"/>
      <c r="D906" s="483"/>
      <c r="E906" s="483"/>
      <c r="F906" s="483"/>
      <c r="G906" s="483"/>
      <c r="H906" s="483"/>
      <c r="I906" s="483"/>
      <c r="J906" s="483"/>
    </row>
    <row r="907" customFormat="false" ht="14.25" hidden="false" customHeight="false" outlineLevel="0" collapsed="false">
      <c r="A907" s="483"/>
      <c r="B907" s="483"/>
      <c r="C907" s="483"/>
      <c r="D907" s="483"/>
      <c r="E907" s="483"/>
      <c r="F907" s="483"/>
      <c r="G907" s="483"/>
      <c r="H907" s="483"/>
      <c r="I907" s="483"/>
      <c r="J907" s="483"/>
    </row>
    <row r="908" customFormat="false" ht="14.25" hidden="false" customHeight="false" outlineLevel="0" collapsed="false">
      <c r="A908" s="483"/>
      <c r="B908" s="483"/>
      <c r="C908" s="483"/>
      <c r="D908" s="483"/>
      <c r="E908" s="483"/>
      <c r="F908" s="483"/>
      <c r="G908" s="483"/>
      <c r="H908" s="483"/>
      <c r="I908" s="483"/>
      <c r="J908" s="483"/>
    </row>
    <row r="909" customFormat="false" ht="14.25" hidden="false" customHeight="false" outlineLevel="0" collapsed="false">
      <c r="A909" s="483"/>
      <c r="B909" s="483"/>
      <c r="C909" s="483"/>
      <c r="D909" s="483"/>
      <c r="E909" s="483"/>
      <c r="F909" s="483"/>
      <c r="G909" s="483"/>
      <c r="H909" s="483"/>
      <c r="I909" s="483"/>
      <c r="J909" s="483"/>
    </row>
    <row r="910" customFormat="false" ht="14.25" hidden="false" customHeight="false" outlineLevel="0" collapsed="false">
      <c r="A910" s="483"/>
      <c r="B910" s="483"/>
      <c r="C910" s="483"/>
      <c r="D910" s="483"/>
      <c r="E910" s="483"/>
      <c r="F910" s="483"/>
      <c r="G910" s="483"/>
      <c r="H910" s="483"/>
      <c r="I910" s="483"/>
      <c r="J910" s="483"/>
    </row>
    <row r="911" customFormat="false" ht="14.25" hidden="false" customHeight="false" outlineLevel="0" collapsed="false">
      <c r="A911" s="483"/>
      <c r="B911" s="483"/>
      <c r="C911" s="483"/>
      <c r="D911" s="483"/>
      <c r="E911" s="483"/>
      <c r="F911" s="483"/>
      <c r="G911" s="483"/>
      <c r="H911" s="483"/>
      <c r="I911" s="483"/>
      <c r="J911" s="483"/>
    </row>
    <row r="912" customFormat="false" ht="14.25" hidden="false" customHeight="false" outlineLevel="0" collapsed="false">
      <c r="A912" s="483"/>
      <c r="B912" s="483"/>
      <c r="C912" s="483"/>
      <c r="D912" s="483"/>
      <c r="E912" s="483"/>
      <c r="F912" s="483"/>
      <c r="G912" s="483"/>
      <c r="H912" s="483"/>
      <c r="I912" s="483"/>
      <c r="J912" s="483"/>
    </row>
    <row r="913" customFormat="false" ht="14.25" hidden="false" customHeight="false" outlineLevel="0" collapsed="false">
      <c r="A913" s="483"/>
      <c r="B913" s="483"/>
      <c r="C913" s="483"/>
      <c r="D913" s="483"/>
      <c r="E913" s="483"/>
      <c r="F913" s="483"/>
      <c r="G913" s="483"/>
      <c r="H913" s="483"/>
      <c r="I913" s="483"/>
      <c r="J913" s="483"/>
    </row>
    <row r="914" customFormat="false" ht="14.25" hidden="false" customHeight="false" outlineLevel="0" collapsed="false">
      <c r="A914" s="483"/>
      <c r="B914" s="483"/>
      <c r="C914" s="483"/>
      <c r="D914" s="483"/>
      <c r="E914" s="483"/>
      <c r="F914" s="483"/>
      <c r="G914" s="483"/>
      <c r="H914" s="483"/>
      <c r="I914" s="483"/>
      <c r="J914" s="483"/>
    </row>
    <row r="915" customFormat="false" ht="14.25" hidden="false" customHeight="false" outlineLevel="0" collapsed="false">
      <c r="A915" s="483"/>
      <c r="B915" s="483"/>
      <c r="C915" s="483"/>
      <c r="D915" s="483"/>
      <c r="E915" s="483"/>
      <c r="F915" s="483"/>
      <c r="G915" s="483"/>
      <c r="H915" s="483"/>
      <c r="I915" s="483"/>
      <c r="J915" s="483"/>
    </row>
    <row r="916" customFormat="false" ht="14.25" hidden="false" customHeight="false" outlineLevel="0" collapsed="false">
      <c r="A916" s="483"/>
      <c r="B916" s="483"/>
      <c r="C916" s="483"/>
      <c r="D916" s="483"/>
      <c r="E916" s="483"/>
      <c r="F916" s="483"/>
      <c r="G916" s="483"/>
      <c r="H916" s="483"/>
      <c r="I916" s="483"/>
      <c r="J916" s="483"/>
    </row>
    <row r="917" customFormat="false" ht="14.25" hidden="false" customHeight="false" outlineLevel="0" collapsed="false">
      <c r="A917" s="483"/>
      <c r="B917" s="483"/>
      <c r="C917" s="483"/>
      <c r="D917" s="483"/>
      <c r="E917" s="483"/>
      <c r="F917" s="483"/>
      <c r="G917" s="483"/>
      <c r="H917" s="483"/>
      <c r="I917" s="483"/>
      <c r="J917" s="483"/>
    </row>
    <row r="918" customFormat="false" ht="14.25" hidden="false" customHeight="false" outlineLevel="0" collapsed="false">
      <c r="A918" s="483"/>
      <c r="B918" s="483"/>
      <c r="C918" s="483"/>
      <c r="D918" s="483"/>
      <c r="E918" s="483"/>
      <c r="F918" s="483"/>
      <c r="G918" s="483"/>
      <c r="H918" s="483"/>
      <c r="I918" s="483"/>
      <c r="J918" s="483"/>
    </row>
    <row r="919" customFormat="false" ht="14.25" hidden="false" customHeight="false" outlineLevel="0" collapsed="false">
      <c r="A919" s="483"/>
      <c r="B919" s="483"/>
      <c r="C919" s="483"/>
      <c r="D919" s="483"/>
      <c r="E919" s="483"/>
      <c r="F919" s="483"/>
      <c r="G919" s="483"/>
      <c r="H919" s="483"/>
      <c r="I919" s="483"/>
      <c r="J919" s="483"/>
    </row>
    <row r="920" customFormat="false" ht="14.25" hidden="false" customHeight="false" outlineLevel="0" collapsed="false">
      <c r="A920" s="483"/>
      <c r="B920" s="483"/>
      <c r="C920" s="483"/>
      <c r="D920" s="483"/>
      <c r="E920" s="483"/>
      <c r="F920" s="483"/>
      <c r="G920" s="483"/>
      <c r="H920" s="483"/>
      <c r="I920" s="483"/>
      <c r="J920" s="483"/>
    </row>
    <row r="921" customFormat="false" ht="14.25" hidden="false" customHeight="false" outlineLevel="0" collapsed="false">
      <c r="A921" s="483"/>
      <c r="B921" s="483"/>
      <c r="C921" s="483"/>
      <c r="D921" s="483"/>
      <c r="E921" s="483"/>
      <c r="F921" s="483"/>
      <c r="G921" s="483"/>
      <c r="H921" s="483"/>
      <c r="I921" s="483"/>
      <c r="J921" s="483"/>
    </row>
    <row r="922" customFormat="false" ht="14.25" hidden="false" customHeight="false" outlineLevel="0" collapsed="false">
      <c r="A922" s="483"/>
      <c r="B922" s="483"/>
      <c r="C922" s="483"/>
      <c r="D922" s="483"/>
      <c r="E922" s="483"/>
      <c r="F922" s="483"/>
      <c r="G922" s="483"/>
      <c r="H922" s="483"/>
      <c r="I922" s="483"/>
      <c r="J922" s="483"/>
    </row>
    <row r="923" customFormat="false" ht="14.25" hidden="false" customHeight="false" outlineLevel="0" collapsed="false">
      <c r="A923" s="483"/>
      <c r="B923" s="483"/>
      <c r="C923" s="483"/>
      <c r="D923" s="483"/>
      <c r="E923" s="483"/>
      <c r="F923" s="483"/>
      <c r="G923" s="483"/>
      <c r="H923" s="483"/>
      <c r="I923" s="483"/>
      <c r="J923" s="483"/>
    </row>
    <row r="924" customFormat="false" ht="14.25" hidden="false" customHeight="false" outlineLevel="0" collapsed="false">
      <c r="A924" s="483"/>
      <c r="B924" s="483"/>
      <c r="C924" s="483"/>
      <c r="D924" s="483"/>
      <c r="E924" s="483"/>
      <c r="F924" s="483"/>
      <c r="G924" s="483"/>
      <c r="H924" s="483"/>
      <c r="I924" s="483"/>
      <c r="J924" s="483"/>
    </row>
    <row r="925" customFormat="false" ht="14.25" hidden="false" customHeight="false" outlineLevel="0" collapsed="false">
      <c r="A925" s="483"/>
      <c r="B925" s="483"/>
      <c r="C925" s="483"/>
      <c r="D925" s="483"/>
      <c r="E925" s="483"/>
      <c r="F925" s="483"/>
      <c r="G925" s="483"/>
      <c r="H925" s="483"/>
      <c r="I925" s="483"/>
      <c r="J925" s="483"/>
    </row>
    <row r="926" customFormat="false" ht="14.25" hidden="false" customHeight="false" outlineLevel="0" collapsed="false">
      <c r="A926" s="483"/>
      <c r="B926" s="483"/>
      <c r="C926" s="483"/>
      <c r="D926" s="483"/>
      <c r="E926" s="483"/>
      <c r="F926" s="483"/>
      <c r="G926" s="483"/>
      <c r="H926" s="483"/>
      <c r="I926" s="483"/>
      <c r="J926" s="483"/>
    </row>
    <row r="927" customFormat="false" ht="14.25" hidden="false" customHeight="false" outlineLevel="0" collapsed="false">
      <c r="A927" s="483"/>
      <c r="B927" s="483"/>
      <c r="C927" s="483"/>
      <c r="D927" s="483"/>
      <c r="E927" s="483"/>
      <c r="F927" s="483"/>
      <c r="G927" s="483"/>
      <c r="H927" s="483"/>
      <c r="I927" s="483"/>
      <c r="J927" s="483"/>
    </row>
    <row r="928" customFormat="false" ht="14.25" hidden="false" customHeight="false" outlineLevel="0" collapsed="false">
      <c r="A928" s="483"/>
      <c r="B928" s="483"/>
      <c r="C928" s="483"/>
      <c r="D928" s="483"/>
      <c r="E928" s="483"/>
      <c r="F928" s="483"/>
      <c r="G928" s="483"/>
      <c r="H928" s="483"/>
      <c r="I928" s="483"/>
      <c r="J928" s="483"/>
    </row>
    <row r="929" customFormat="false" ht="14.25" hidden="false" customHeight="false" outlineLevel="0" collapsed="false">
      <c r="A929" s="483"/>
      <c r="B929" s="483"/>
      <c r="C929" s="483"/>
      <c r="D929" s="483"/>
      <c r="E929" s="483"/>
      <c r="F929" s="483"/>
      <c r="G929" s="483"/>
      <c r="H929" s="483"/>
      <c r="I929" s="483"/>
      <c r="J929" s="483"/>
    </row>
    <row r="930" customFormat="false" ht="14.25" hidden="false" customHeight="false" outlineLevel="0" collapsed="false">
      <c r="A930" s="483"/>
      <c r="B930" s="483"/>
      <c r="C930" s="483"/>
      <c r="D930" s="483"/>
      <c r="E930" s="483"/>
      <c r="F930" s="483"/>
      <c r="G930" s="483"/>
      <c r="H930" s="483"/>
      <c r="I930" s="483"/>
      <c r="J930" s="483"/>
    </row>
    <row r="931" customFormat="false" ht="14.25" hidden="false" customHeight="false" outlineLevel="0" collapsed="false">
      <c r="A931" s="483"/>
      <c r="B931" s="483"/>
      <c r="C931" s="483"/>
      <c r="D931" s="483"/>
      <c r="E931" s="483"/>
      <c r="F931" s="483"/>
      <c r="G931" s="483"/>
      <c r="H931" s="483"/>
      <c r="I931" s="483"/>
      <c r="J931" s="483"/>
    </row>
    <row r="932" customFormat="false" ht="14.25" hidden="false" customHeight="false" outlineLevel="0" collapsed="false">
      <c r="A932" s="483"/>
      <c r="B932" s="483"/>
      <c r="C932" s="483"/>
      <c r="D932" s="483"/>
      <c r="E932" s="483"/>
      <c r="F932" s="483"/>
      <c r="G932" s="483"/>
      <c r="H932" s="483"/>
      <c r="I932" s="483"/>
      <c r="J932" s="483"/>
    </row>
    <row r="933" customFormat="false" ht="14.25" hidden="false" customHeight="false" outlineLevel="0" collapsed="false">
      <c r="A933" s="483"/>
      <c r="B933" s="483"/>
      <c r="C933" s="483"/>
      <c r="D933" s="483"/>
      <c r="E933" s="483"/>
      <c r="F933" s="483"/>
      <c r="G933" s="483"/>
      <c r="H933" s="483"/>
      <c r="I933" s="483"/>
      <c r="J933" s="483"/>
    </row>
    <row r="934" customFormat="false" ht="14.25" hidden="false" customHeight="false" outlineLevel="0" collapsed="false">
      <c r="A934" s="483"/>
      <c r="B934" s="483"/>
      <c r="C934" s="483"/>
      <c r="D934" s="483"/>
      <c r="E934" s="483"/>
      <c r="F934" s="483"/>
      <c r="G934" s="483"/>
      <c r="H934" s="483"/>
      <c r="I934" s="483"/>
      <c r="J934" s="483"/>
    </row>
    <row r="935" customFormat="false" ht="14.25" hidden="false" customHeight="false" outlineLevel="0" collapsed="false">
      <c r="A935" s="483"/>
      <c r="B935" s="483"/>
      <c r="C935" s="483"/>
      <c r="D935" s="483"/>
      <c r="E935" s="483"/>
      <c r="F935" s="483"/>
      <c r="G935" s="483"/>
      <c r="H935" s="483"/>
      <c r="I935" s="483"/>
      <c r="J935" s="483"/>
    </row>
    <row r="936" customFormat="false" ht="14.25" hidden="false" customHeight="false" outlineLevel="0" collapsed="false">
      <c r="A936" s="483"/>
      <c r="B936" s="483"/>
      <c r="C936" s="483"/>
      <c r="D936" s="483"/>
      <c r="E936" s="483"/>
      <c r="F936" s="483"/>
      <c r="G936" s="483"/>
      <c r="H936" s="483"/>
      <c r="I936" s="483"/>
      <c r="J936" s="483"/>
    </row>
    <row r="937" customFormat="false" ht="14.25" hidden="false" customHeight="false" outlineLevel="0" collapsed="false">
      <c r="A937" s="483"/>
      <c r="B937" s="483"/>
      <c r="C937" s="483"/>
      <c r="D937" s="483"/>
      <c r="E937" s="483"/>
      <c r="F937" s="483"/>
      <c r="G937" s="483"/>
      <c r="H937" s="483"/>
      <c r="I937" s="483"/>
      <c r="J937" s="483"/>
    </row>
    <row r="938" customFormat="false" ht="14.25" hidden="false" customHeight="false" outlineLevel="0" collapsed="false">
      <c r="A938" s="483"/>
      <c r="B938" s="483"/>
      <c r="C938" s="483"/>
      <c r="D938" s="483"/>
      <c r="E938" s="483"/>
      <c r="F938" s="483"/>
      <c r="G938" s="483"/>
      <c r="H938" s="483"/>
      <c r="I938" s="483"/>
      <c r="J938" s="483"/>
    </row>
    <row r="939" customFormat="false" ht="14.25" hidden="false" customHeight="false" outlineLevel="0" collapsed="false">
      <c r="A939" s="483"/>
      <c r="B939" s="483"/>
      <c r="C939" s="483"/>
      <c r="D939" s="483"/>
      <c r="E939" s="483"/>
      <c r="F939" s="483"/>
      <c r="G939" s="483"/>
      <c r="H939" s="483"/>
      <c r="I939" s="483"/>
      <c r="J939" s="483"/>
    </row>
    <row r="940" customFormat="false" ht="14.25" hidden="false" customHeight="false" outlineLevel="0" collapsed="false">
      <c r="A940" s="483"/>
      <c r="B940" s="483"/>
      <c r="C940" s="483"/>
      <c r="D940" s="483"/>
      <c r="E940" s="483"/>
      <c r="F940" s="483"/>
      <c r="G940" s="483"/>
      <c r="H940" s="483"/>
      <c r="I940" s="483"/>
      <c r="J940" s="483"/>
    </row>
    <row r="941" customFormat="false" ht="14.25" hidden="false" customHeight="false" outlineLevel="0" collapsed="false">
      <c r="A941" s="483"/>
      <c r="B941" s="483"/>
      <c r="C941" s="483"/>
      <c r="D941" s="483"/>
      <c r="E941" s="483"/>
      <c r="F941" s="483"/>
      <c r="G941" s="483"/>
      <c r="H941" s="483"/>
      <c r="I941" s="483"/>
      <c r="J941" s="483"/>
    </row>
    <row r="942" customFormat="false" ht="14.25" hidden="false" customHeight="false" outlineLevel="0" collapsed="false">
      <c r="A942" s="483"/>
      <c r="B942" s="483"/>
      <c r="C942" s="483"/>
      <c r="D942" s="483"/>
      <c r="E942" s="483"/>
      <c r="F942" s="483"/>
      <c r="G942" s="483"/>
      <c r="H942" s="483"/>
      <c r="I942" s="483"/>
      <c r="J942" s="483"/>
    </row>
    <row r="943" customFormat="false" ht="14.25" hidden="false" customHeight="false" outlineLevel="0" collapsed="false">
      <c r="A943" s="483"/>
      <c r="B943" s="483"/>
      <c r="C943" s="483"/>
      <c r="D943" s="483"/>
      <c r="E943" s="483"/>
      <c r="F943" s="483"/>
      <c r="G943" s="483"/>
      <c r="H943" s="483"/>
      <c r="I943" s="483"/>
      <c r="J943" s="483"/>
    </row>
    <row r="944" customFormat="false" ht="14.25" hidden="false" customHeight="false" outlineLevel="0" collapsed="false">
      <c r="A944" s="483"/>
      <c r="B944" s="483"/>
      <c r="C944" s="483"/>
      <c r="D944" s="483"/>
      <c r="E944" s="483"/>
      <c r="F944" s="483"/>
      <c r="G944" s="483"/>
      <c r="H944" s="483"/>
      <c r="I944" s="483"/>
      <c r="J944" s="483"/>
    </row>
    <row r="945" customFormat="false" ht="14.25" hidden="false" customHeight="false" outlineLevel="0" collapsed="false">
      <c r="A945" s="483"/>
      <c r="B945" s="483"/>
      <c r="C945" s="483"/>
      <c r="D945" s="483"/>
      <c r="E945" s="483"/>
      <c r="F945" s="483"/>
      <c r="G945" s="483"/>
      <c r="H945" s="483"/>
      <c r="I945" s="483"/>
      <c r="J945" s="483"/>
    </row>
    <row r="946" customFormat="false" ht="14.25" hidden="false" customHeight="false" outlineLevel="0" collapsed="false">
      <c r="A946" s="483"/>
      <c r="B946" s="483"/>
      <c r="C946" s="483"/>
      <c r="D946" s="483"/>
      <c r="E946" s="483"/>
      <c r="F946" s="483"/>
      <c r="G946" s="483"/>
      <c r="H946" s="483"/>
      <c r="I946" s="483"/>
      <c r="J946" s="483"/>
    </row>
    <row r="947" customFormat="false" ht="14.25" hidden="false" customHeight="false" outlineLevel="0" collapsed="false">
      <c r="A947" s="483"/>
      <c r="B947" s="483"/>
      <c r="C947" s="483"/>
      <c r="D947" s="483"/>
      <c r="E947" s="483"/>
      <c r="F947" s="483"/>
      <c r="G947" s="483"/>
      <c r="H947" s="483"/>
      <c r="I947" s="483"/>
      <c r="J947" s="483"/>
    </row>
    <row r="948" customFormat="false" ht="14.25" hidden="false" customHeight="false" outlineLevel="0" collapsed="false">
      <c r="A948" s="483"/>
      <c r="B948" s="483"/>
      <c r="C948" s="483"/>
      <c r="D948" s="483"/>
      <c r="E948" s="483"/>
      <c r="F948" s="483"/>
      <c r="G948" s="483"/>
      <c r="H948" s="483"/>
      <c r="I948" s="483"/>
      <c r="J948" s="483"/>
    </row>
    <row r="949" customFormat="false" ht="14.25" hidden="false" customHeight="false" outlineLevel="0" collapsed="false">
      <c r="A949" s="483"/>
      <c r="B949" s="483"/>
      <c r="C949" s="483"/>
      <c r="D949" s="483"/>
      <c r="E949" s="483"/>
      <c r="F949" s="483"/>
      <c r="G949" s="483"/>
      <c r="H949" s="483"/>
      <c r="I949" s="483"/>
      <c r="J949" s="483"/>
    </row>
    <row r="950" customFormat="false" ht="14.25" hidden="false" customHeight="false" outlineLevel="0" collapsed="false">
      <c r="A950" s="483"/>
      <c r="B950" s="483"/>
      <c r="C950" s="483"/>
      <c r="D950" s="483"/>
      <c r="E950" s="483"/>
      <c r="F950" s="483"/>
      <c r="G950" s="483"/>
      <c r="H950" s="483"/>
      <c r="I950" s="483"/>
      <c r="J950" s="483"/>
    </row>
    <row r="951" customFormat="false" ht="14.25" hidden="false" customHeight="false" outlineLevel="0" collapsed="false">
      <c r="A951" s="483"/>
      <c r="B951" s="483"/>
      <c r="C951" s="483"/>
      <c r="D951" s="483"/>
      <c r="E951" s="483"/>
      <c r="F951" s="483"/>
      <c r="G951" s="483"/>
      <c r="H951" s="483"/>
      <c r="I951" s="483"/>
      <c r="J951" s="483"/>
    </row>
    <row r="952" customFormat="false" ht="14.25" hidden="false" customHeight="false" outlineLevel="0" collapsed="false">
      <c r="A952" s="483"/>
      <c r="B952" s="483"/>
      <c r="C952" s="483"/>
      <c r="D952" s="483"/>
      <c r="E952" s="483"/>
      <c r="F952" s="483"/>
      <c r="G952" s="483"/>
      <c r="H952" s="483"/>
      <c r="I952" s="483"/>
      <c r="J952" s="483"/>
    </row>
    <row r="953" customFormat="false" ht="14.25" hidden="false" customHeight="false" outlineLevel="0" collapsed="false">
      <c r="A953" s="483"/>
      <c r="B953" s="483"/>
      <c r="C953" s="483"/>
      <c r="D953" s="483"/>
      <c r="E953" s="483"/>
      <c r="F953" s="483"/>
      <c r="G953" s="483"/>
      <c r="H953" s="483"/>
      <c r="I953" s="483"/>
      <c r="J953" s="483"/>
    </row>
    <row r="954" customFormat="false" ht="14.25" hidden="false" customHeight="false" outlineLevel="0" collapsed="false">
      <c r="A954" s="483"/>
      <c r="B954" s="483"/>
      <c r="C954" s="483"/>
      <c r="D954" s="483"/>
      <c r="E954" s="483"/>
      <c r="F954" s="483"/>
      <c r="G954" s="483"/>
      <c r="H954" s="483"/>
      <c r="I954" s="483"/>
      <c r="J954" s="483"/>
    </row>
    <row r="955" customFormat="false" ht="14.25" hidden="false" customHeight="false" outlineLevel="0" collapsed="false">
      <c r="A955" s="483"/>
      <c r="B955" s="483"/>
      <c r="C955" s="483"/>
      <c r="D955" s="483"/>
      <c r="E955" s="483"/>
      <c r="F955" s="483"/>
      <c r="G955" s="483"/>
      <c r="H955" s="483"/>
      <c r="I955" s="483"/>
      <c r="J955" s="483"/>
    </row>
    <row r="956" customFormat="false" ht="14.25" hidden="false" customHeight="false" outlineLevel="0" collapsed="false">
      <c r="A956" s="483"/>
      <c r="B956" s="483"/>
      <c r="C956" s="483"/>
      <c r="D956" s="483"/>
      <c r="E956" s="483"/>
      <c r="F956" s="483"/>
      <c r="G956" s="483"/>
      <c r="H956" s="483"/>
      <c r="I956" s="483"/>
      <c r="J956" s="483"/>
    </row>
    <row r="957" customFormat="false" ht="14.25" hidden="false" customHeight="false" outlineLevel="0" collapsed="false">
      <c r="A957" s="483"/>
      <c r="B957" s="483"/>
      <c r="C957" s="483"/>
      <c r="D957" s="483"/>
      <c r="E957" s="483"/>
      <c r="F957" s="483"/>
      <c r="G957" s="483"/>
      <c r="H957" s="483"/>
      <c r="I957" s="483"/>
      <c r="J957" s="483"/>
    </row>
    <row r="958" customFormat="false" ht="14.25" hidden="false" customHeight="false" outlineLevel="0" collapsed="false">
      <c r="A958" s="483"/>
      <c r="B958" s="483"/>
      <c r="C958" s="483"/>
      <c r="D958" s="483"/>
      <c r="E958" s="483"/>
      <c r="F958" s="483"/>
      <c r="G958" s="483"/>
      <c r="H958" s="483"/>
      <c r="I958" s="483"/>
      <c r="J958" s="483"/>
    </row>
    <row r="959" customFormat="false" ht="14.25" hidden="false" customHeight="false" outlineLevel="0" collapsed="false">
      <c r="A959" s="483"/>
      <c r="B959" s="483"/>
      <c r="C959" s="483"/>
      <c r="D959" s="483"/>
      <c r="E959" s="483"/>
      <c r="F959" s="483"/>
      <c r="G959" s="483"/>
      <c r="H959" s="483"/>
      <c r="I959" s="483"/>
      <c r="J959" s="483"/>
    </row>
    <row r="960" customFormat="false" ht="14.25" hidden="false" customHeight="false" outlineLevel="0" collapsed="false">
      <c r="A960" s="483"/>
      <c r="B960" s="483"/>
      <c r="C960" s="483"/>
      <c r="D960" s="483"/>
      <c r="E960" s="483"/>
      <c r="F960" s="483"/>
      <c r="G960" s="483"/>
      <c r="H960" s="483"/>
      <c r="I960" s="483"/>
      <c r="J960" s="483"/>
    </row>
    <row r="961" customFormat="false" ht="14.25" hidden="false" customHeight="false" outlineLevel="0" collapsed="false">
      <c r="A961" s="483"/>
      <c r="B961" s="483"/>
      <c r="C961" s="483"/>
      <c r="D961" s="483"/>
      <c r="E961" s="483"/>
      <c r="F961" s="483"/>
      <c r="G961" s="483"/>
      <c r="H961" s="483"/>
      <c r="I961" s="483"/>
      <c r="J961" s="483"/>
    </row>
    <row r="962" customFormat="false" ht="14.25" hidden="false" customHeight="false" outlineLevel="0" collapsed="false">
      <c r="A962" s="483"/>
      <c r="B962" s="483"/>
      <c r="C962" s="483"/>
      <c r="D962" s="483"/>
      <c r="E962" s="483"/>
      <c r="F962" s="483"/>
      <c r="G962" s="483"/>
      <c r="H962" s="483"/>
      <c r="I962" s="483"/>
      <c r="J962" s="483"/>
    </row>
    <row r="963" customFormat="false" ht="14.25" hidden="false" customHeight="false" outlineLevel="0" collapsed="false">
      <c r="A963" s="483"/>
      <c r="B963" s="483"/>
      <c r="C963" s="483"/>
      <c r="D963" s="483"/>
      <c r="E963" s="483"/>
      <c r="F963" s="483"/>
      <c r="G963" s="483"/>
      <c r="H963" s="483"/>
      <c r="I963" s="483"/>
      <c r="J963" s="483"/>
    </row>
    <row r="964" customFormat="false" ht="14.25" hidden="false" customHeight="false" outlineLevel="0" collapsed="false">
      <c r="A964" s="483"/>
      <c r="B964" s="483"/>
      <c r="C964" s="483"/>
      <c r="D964" s="483"/>
      <c r="E964" s="483"/>
      <c r="F964" s="483"/>
      <c r="G964" s="483"/>
      <c r="H964" s="483"/>
      <c r="I964" s="483"/>
      <c r="J964" s="483"/>
    </row>
    <row r="965" customFormat="false" ht="14.25" hidden="false" customHeight="false" outlineLevel="0" collapsed="false">
      <c r="A965" s="483"/>
      <c r="B965" s="483"/>
      <c r="C965" s="483"/>
      <c r="D965" s="483"/>
      <c r="E965" s="483"/>
      <c r="F965" s="483"/>
      <c r="G965" s="483"/>
      <c r="H965" s="483"/>
      <c r="I965" s="483"/>
      <c r="J965" s="483"/>
    </row>
    <row r="966" customFormat="false" ht="14.25" hidden="false" customHeight="false" outlineLevel="0" collapsed="false">
      <c r="A966" s="483"/>
      <c r="B966" s="483"/>
      <c r="C966" s="483"/>
      <c r="D966" s="483"/>
      <c r="E966" s="483"/>
      <c r="F966" s="483"/>
      <c r="G966" s="483"/>
      <c r="H966" s="483"/>
      <c r="I966" s="483"/>
      <c r="J966" s="483"/>
    </row>
    <row r="967" customFormat="false" ht="14.25" hidden="false" customHeight="false" outlineLevel="0" collapsed="false">
      <c r="A967" s="483"/>
      <c r="B967" s="483"/>
      <c r="C967" s="483"/>
      <c r="D967" s="483"/>
      <c r="E967" s="483"/>
      <c r="F967" s="483"/>
      <c r="G967" s="483"/>
      <c r="H967" s="483"/>
      <c r="I967" s="483"/>
      <c r="J967" s="483"/>
    </row>
    <row r="968" customFormat="false" ht="14.25" hidden="false" customHeight="false" outlineLevel="0" collapsed="false">
      <c r="A968" s="483"/>
      <c r="B968" s="483"/>
      <c r="C968" s="483"/>
      <c r="D968" s="483"/>
      <c r="E968" s="483"/>
      <c r="F968" s="483"/>
      <c r="G968" s="483"/>
      <c r="H968" s="483"/>
      <c r="I968" s="483"/>
      <c r="J968" s="483"/>
    </row>
    <row r="969" customFormat="false" ht="14.25" hidden="false" customHeight="false" outlineLevel="0" collapsed="false">
      <c r="A969" s="483"/>
      <c r="B969" s="483"/>
      <c r="C969" s="483"/>
      <c r="D969" s="483"/>
      <c r="E969" s="483"/>
      <c r="F969" s="483"/>
      <c r="G969" s="483"/>
      <c r="H969" s="483"/>
      <c r="I969" s="483"/>
      <c r="J969" s="483"/>
    </row>
    <row r="970" customFormat="false" ht="14.25" hidden="false" customHeight="false" outlineLevel="0" collapsed="false">
      <c r="A970" s="483"/>
      <c r="B970" s="483"/>
      <c r="C970" s="483"/>
      <c r="D970" s="483"/>
      <c r="E970" s="483"/>
      <c r="F970" s="483"/>
      <c r="G970" s="483"/>
      <c r="H970" s="483"/>
      <c r="I970" s="483"/>
      <c r="J970" s="483"/>
    </row>
    <row r="971" customFormat="false" ht="14.25" hidden="false" customHeight="false" outlineLevel="0" collapsed="false">
      <c r="A971" s="483"/>
      <c r="B971" s="483"/>
      <c r="C971" s="483"/>
      <c r="D971" s="483"/>
      <c r="E971" s="483"/>
      <c r="F971" s="483"/>
      <c r="G971" s="483"/>
      <c r="H971" s="483"/>
      <c r="I971" s="483"/>
      <c r="J971" s="483"/>
    </row>
    <row r="972" customFormat="false" ht="14.25" hidden="false" customHeight="false" outlineLevel="0" collapsed="false">
      <c r="A972" s="483"/>
      <c r="B972" s="483"/>
      <c r="C972" s="483"/>
      <c r="D972" s="483"/>
      <c r="E972" s="483"/>
      <c r="F972" s="483"/>
      <c r="G972" s="483"/>
      <c r="H972" s="483"/>
      <c r="I972" s="483"/>
      <c r="J972" s="483"/>
    </row>
    <row r="973" customFormat="false" ht="14.25" hidden="false" customHeight="false" outlineLevel="0" collapsed="false">
      <c r="A973" s="483"/>
      <c r="B973" s="483"/>
      <c r="C973" s="483"/>
      <c r="D973" s="483"/>
      <c r="E973" s="483"/>
      <c r="F973" s="483"/>
      <c r="G973" s="483"/>
      <c r="H973" s="483"/>
      <c r="I973" s="483"/>
      <c r="J973" s="483"/>
    </row>
    <row r="974" customFormat="false" ht="14.25" hidden="false" customHeight="false" outlineLevel="0" collapsed="false">
      <c r="A974" s="483"/>
      <c r="B974" s="483"/>
      <c r="C974" s="483"/>
      <c r="D974" s="483"/>
      <c r="E974" s="483"/>
      <c r="F974" s="483"/>
      <c r="G974" s="483"/>
      <c r="H974" s="483"/>
      <c r="I974" s="483"/>
      <c r="J974" s="483"/>
    </row>
    <row r="975" customFormat="false" ht="14.25" hidden="false" customHeight="false" outlineLevel="0" collapsed="false">
      <c r="A975" s="483"/>
      <c r="B975" s="483"/>
      <c r="C975" s="483"/>
      <c r="D975" s="483"/>
      <c r="E975" s="483"/>
      <c r="F975" s="483"/>
      <c r="G975" s="483"/>
      <c r="H975" s="483"/>
      <c r="I975" s="483"/>
      <c r="J975" s="483"/>
    </row>
    <row r="976" customFormat="false" ht="14.25" hidden="false" customHeight="false" outlineLevel="0" collapsed="false">
      <c r="A976" s="483"/>
      <c r="B976" s="483"/>
      <c r="C976" s="483"/>
      <c r="D976" s="483"/>
      <c r="E976" s="483"/>
      <c r="F976" s="483"/>
      <c r="G976" s="483"/>
      <c r="H976" s="483"/>
      <c r="I976" s="483"/>
      <c r="J976" s="483"/>
    </row>
    <row r="977" customFormat="false" ht="14.25" hidden="false" customHeight="false" outlineLevel="0" collapsed="false">
      <c r="A977" s="483"/>
      <c r="B977" s="483"/>
      <c r="C977" s="483"/>
      <c r="D977" s="483"/>
      <c r="E977" s="483"/>
      <c r="F977" s="483"/>
      <c r="G977" s="483"/>
      <c r="H977" s="483"/>
      <c r="I977" s="483"/>
      <c r="J977" s="483"/>
    </row>
    <row r="978" customFormat="false" ht="14.25" hidden="false" customHeight="false" outlineLevel="0" collapsed="false">
      <c r="A978" s="483"/>
      <c r="B978" s="483"/>
      <c r="C978" s="483"/>
      <c r="D978" s="483"/>
      <c r="E978" s="483"/>
      <c r="F978" s="483"/>
      <c r="G978" s="483"/>
      <c r="H978" s="483"/>
      <c r="I978" s="483"/>
      <c r="J978" s="483"/>
    </row>
    <row r="979" customFormat="false" ht="14.25" hidden="false" customHeight="false" outlineLevel="0" collapsed="false">
      <c r="A979" s="483"/>
      <c r="B979" s="483"/>
      <c r="C979" s="483"/>
      <c r="D979" s="483"/>
      <c r="E979" s="483"/>
      <c r="F979" s="483"/>
      <c r="G979" s="483"/>
      <c r="H979" s="483"/>
      <c r="I979" s="483"/>
      <c r="J979" s="483"/>
    </row>
    <row r="980" customFormat="false" ht="14.25" hidden="false" customHeight="false" outlineLevel="0" collapsed="false">
      <c r="A980" s="483"/>
      <c r="B980" s="483"/>
      <c r="C980" s="483"/>
      <c r="D980" s="483"/>
      <c r="E980" s="483"/>
      <c r="F980" s="483"/>
      <c r="G980" s="483"/>
      <c r="H980" s="483"/>
      <c r="I980" s="483"/>
      <c r="J980" s="483"/>
    </row>
    <row r="981" customFormat="false" ht="14.25" hidden="false" customHeight="false" outlineLevel="0" collapsed="false">
      <c r="A981" s="483"/>
      <c r="B981" s="483"/>
      <c r="C981" s="483"/>
      <c r="D981" s="483"/>
      <c r="E981" s="483"/>
      <c r="F981" s="483"/>
      <c r="G981" s="483"/>
      <c r="H981" s="483"/>
      <c r="I981" s="483"/>
      <c r="J981" s="483"/>
    </row>
    <row r="982" customFormat="false" ht="14.25" hidden="false" customHeight="false" outlineLevel="0" collapsed="false">
      <c r="A982" s="483"/>
      <c r="B982" s="483"/>
      <c r="C982" s="483"/>
      <c r="D982" s="483"/>
      <c r="E982" s="483"/>
      <c r="F982" s="483"/>
      <c r="G982" s="483"/>
      <c r="H982" s="483"/>
      <c r="I982" s="483"/>
      <c r="J982" s="483"/>
    </row>
    <row r="983" customFormat="false" ht="14.25" hidden="false" customHeight="false" outlineLevel="0" collapsed="false">
      <c r="A983" s="483"/>
      <c r="B983" s="483"/>
      <c r="C983" s="483"/>
      <c r="D983" s="483"/>
      <c r="E983" s="483"/>
      <c r="F983" s="483"/>
      <c r="G983" s="483"/>
      <c r="H983" s="483"/>
      <c r="I983" s="483"/>
      <c r="J983" s="483"/>
    </row>
    <row r="984" customFormat="false" ht="14.25" hidden="false" customHeight="false" outlineLevel="0" collapsed="false">
      <c r="A984" s="483"/>
      <c r="B984" s="483"/>
      <c r="C984" s="483"/>
      <c r="D984" s="483"/>
      <c r="E984" s="483"/>
      <c r="F984" s="483"/>
      <c r="G984" s="483"/>
      <c r="H984" s="483"/>
      <c r="I984" s="483"/>
      <c r="J984" s="483"/>
    </row>
    <row r="985" customFormat="false" ht="14.25" hidden="false" customHeight="false" outlineLevel="0" collapsed="false">
      <c r="A985" s="483"/>
      <c r="B985" s="483"/>
      <c r="C985" s="483"/>
      <c r="D985" s="483"/>
      <c r="E985" s="483"/>
      <c r="F985" s="483"/>
      <c r="G985" s="483"/>
      <c r="H985" s="483"/>
      <c r="I985" s="483"/>
      <c r="J985" s="483"/>
    </row>
    <row r="986" customFormat="false" ht="14.25" hidden="false" customHeight="false" outlineLevel="0" collapsed="false">
      <c r="A986" s="483"/>
      <c r="B986" s="483"/>
      <c r="C986" s="483"/>
      <c r="D986" s="483"/>
      <c r="E986" s="483"/>
      <c r="F986" s="483"/>
      <c r="G986" s="483"/>
      <c r="H986" s="483"/>
      <c r="I986" s="483"/>
      <c r="J986" s="483"/>
    </row>
    <row r="987" customFormat="false" ht="14.25" hidden="false" customHeight="false" outlineLevel="0" collapsed="false">
      <c r="A987" s="483"/>
      <c r="B987" s="483"/>
      <c r="C987" s="483"/>
      <c r="D987" s="483"/>
      <c r="E987" s="483"/>
      <c r="F987" s="483"/>
      <c r="G987" s="483"/>
      <c r="H987" s="483"/>
      <c r="I987" s="483"/>
      <c r="J987" s="483"/>
    </row>
    <row r="988" customFormat="false" ht="14.25" hidden="false" customHeight="false" outlineLevel="0" collapsed="false">
      <c r="A988" s="483"/>
      <c r="B988" s="483"/>
      <c r="C988" s="483"/>
      <c r="D988" s="483"/>
      <c r="E988" s="483"/>
      <c r="F988" s="483"/>
      <c r="G988" s="483"/>
      <c r="H988" s="483"/>
      <c r="I988" s="483"/>
      <c r="J988" s="483"/>
    </row>
    <row r="989" customFormat="false" ht="14.25" hidden="false" customHeight="false" outlineLevel="0" collapsed="false">
      <c r="A989" s="483"/>
      <c r="B989" s="483"/>
      <c r="C989" s="483"/>
      <c r="D989" s="483"/>
      <c r="E989" s="483"/>
      <c r="F989" s="483"/>
      <c r="G989" s="483"/>
      <c r="H989" s="483"/>
      <c r="I989" s="483"/>
      <c r="J989" s="483"/>
    </row>
    <row r="990" customFormat="false" ht="14.25" hidden="false" customHeight="false" outlineLevel="0" collapsed="false">
      <c r="A990" s="483"/>
      <c r="B990" s="483"/>
      <c r="C990" s="483"/>
      <c r="D990" s="483"/>
      <c r="E990" s="483"/>
      <c r="F990" s="483"/>
      <c r="G990" s="483"/>
      <c r="H990" s="483"/>
      <c r="I990" s="483"/>
      <c r="J990" s="483"/>
    </row>
    <row r="991" customFormat="false" ht="14.25" hidden="false" customHeight="false" outlineLevel="0" collapsed="false">
      <c r="A991" s="483"/>
      <c r="B991" s="483"/>
      <c r="C991" s="483"/>
      <c r="D991" s="483"/>
      <c r="E991" s="483"/>
      <c r="F991" s="483"/>
      <c r="G991" s="483"/>
      <c r="H991" s="483"/>
      <c r="I991" s="483"/>
      <c r="J991" s="483"/>
    </row>
    <row r="992" customFormat="false" ht="14.25" hidden="false" customHeight="false" outlineLevel="0" collapsed="false">
      <c r="A992" s="483"/>
      <c r="B992" s="483"/>
      <c r="C992" s="483"/>
      <c r="D992" s="483"/>
      <c r="E992" s="483"/>
      <c r="F992" s="483"/>
      <c r="G992" s="483"/>
      <c r="H992" s="483"/>
      <c r="I992" s="483"/>
      <c r="J992" s="483"/>
    </row>
    <row r="993" customFormat="false" ht="14.25" hidden="false" customHeight="false" outlineLevel="0" collapsed="false">
      <c r="A993" s="483"/>
      <c r="B993" s="483"/>
      <c r="C993" s="483"/>
      <c r="D993" s="483"/>
      <c r="E993" s="483"/>
      <c r="F993" s="483"/>
      <c r="G993" s="483"/>
      <c r="H993" s="483"/>
      <c r="I993" s="483"/>
      <c r="J993" s="483"/>
    </row>
    <row r="994" customFormat="false" ht="14.25" hidden="false" customHeight="false" outlineLevel="0" collapsed="false">
      <c r="A994" s="483"/>
      <c r="B994" s="483"/>
      <c r="C994" s="483"/>
      <c r="D994" s="483"/>
      <c r="E994" s="483"/>
      <c r="F994" s="483"/>
      <c r="G994" s="483"/>
      <c r="H994" s="483"/>
      <c r="I994" s="483"/>
      <c r="J994" s="483"/>
    </row>
    <row r="995" customFormat="false" ht="14.25" hidden="false" customHeight="false" outlineLevel="0" collapsed="false">
      <c r="A995" s="483"/>
      <c r="B995" s="483"/>
      <c r="C995" s="483"/>
      <c r="D995" s="483"/>
      <c r="E995" s="483"/>
      <c r="F995" s="483"/>
      <c r="G995" s="483"/>
      <c r="H995" s="483"/>
      <c r="I995" s="483"/>
      <c r="J995" s="483"/>
    </row>
    <row r="996" customFormat="false" ht="14.25" hidden="false" customHeight="false" outlineLevel="0" collapsed="false">
      <c r="A996" s="483"/>
      <c r="B996" s="483"/>
      <c r="C996" s="483"/>
      <c r="D996" s="483"/>
      <c r="E996" s="483"/>
      <c r="F996" s="483"/>
      <c r="G996" s="483"/>
      <c r="H996" s="483"/>
      <c r="I996" s="483"/>
      <c r="J996" s="483"/>
    </row>
    <row r="997" customFormat="false" ht="14.25" hidden="false" customHeight="false" outlineLevel="0" collapsed="false">
      <c r="A997" s="483"/>
      <c r="B997" s="483"/>
      <c r="C997" s="483"/>
      <c r="D997" s="483"/>
      <c r="E997" s="483"/>
      <c r="F997" s="483"/>
      <c r="G997" s="483"/>
      <c r="H997" s="483"/>
      <c r="I997" s="483"/>
      <c r="J997" s="483"/>
    </row>
    <row r="998" customFormat="false" ht="14.25" hidden="false" customHeight="false" outlineLevel="0" collapsed="false">
      <c r="A998" s="483"/>
      <c r="B998" s="483"/>
      <c r="C998" s="483"/>
      <c r="D998" s="483"/>
      <c r="E998" s="483"/>
      <c r="F998" s="483"/>
      <c r="G998" s="483"/>
      <c r="H998" s="483"/>
      <c r="I998" s="483"/>
      <c r="J998" s="483"/>
    </row>
    <row r="999" customFormat="false" ht="14.25" hidden="false" customHeight="false" outlineLevel="0" collapsed="false">
      <c r="A999" s="483"/>
      <c r="B999" s="483"/>
      <c r="C999" s="483"/>
      <c r="D999" s="483"/>
      <c r="E999" s="483"/>
      <c r="F999" s="483"/>
      <c r="G999" s="483"/>
      <c r="H999" s="483"/>
      <c r="I999" s="483"/>
      <c r="J999" s="483"/>
    </row>
    <row r="1000" customFormat="false" ht="14.25" hidden="false" customHeight="false" outlineLevel="0" collapsed="false">
      <c r="A1000" s="483"/>
      <c r="B1000" s="483"/>
      <c r="C1000" s="483"/>
      <c r="D1000" s="483"/>
      <c r="E1000" s="483"/>
      <c r="F1000" s="483"/>
      <c r="G1000" s="483"/>
      <c r="H1000" s="483"/>
      <c r="I1000" s="483"/>
      <c r="J1000" s="483"/>
    </row>
    <row r="1001" customFormat="false" ht="14.25" hidden="false" customHeight="false" outlineLevel="0" collapsed="false">
      <c r="A1001" s="483"/>
      <c r="B1001" s="483"/>
      <c r="C1001" s="483"/>
      <c r="D1001" s="483"/>
      <c r="E1001" s="483"/>
      <c r="F1001" s="483"/>
      <c r="G1001" s="483"/>
      <c r="H1001" s="483"/>
      <c r="I1001" s="483"/>
      <c r="J1001" s="483"/>
    </row>
    <row r="1002" customFormat="false" ht="14.25" hidden="false" customHeight="false" outlineLevel="0" collapsed="false">
      <c r="A1002" s="483"/>
      <c r="B1002" s="483"/>
      <c r="C1002" s="483"/>
      <c r="D1002" s="483"/>
      <c r="E1002" s="483"/>
      <c r="F1002" s="483"/>
      <c r="G1002" s="483"/>
      <c r="H1002" s="483"/>
      <c r="I1002" s="483"/>
      <c r="J1002" s="483"/>
    </row>
    <row r="1003" customFormat="false" ht="14.25" hidden="false" customHeight="false" outlineLevel="0" collapsed="false">
      <c r="A1003" s="483"/>
      <c r="B1003" s="483"/>
      <c r="C1003" s="483"/>
      <c r="D1003" s="483"/>
      <c r="E1003" s="483"/>
      <c r="F1003" s="483"/>
      <c r="G1003" s="483"/>
      <c r="H1003" s="483"/>
      <c r="I1003" s="483"/>
      <c r="J1003" s="483"/>
    </row>
    <row r="1004" customFormat="false" ht="14.25" hidden="false" customHeight="false" outlineLevel="0" collapsed="false">
      <c r="A1004" s="483"/>
      <c r="B1004" s="483"/>
      <c r="C1004" s="483"/>
      <c r="D1004" s="483"/>
      <c r="E1004" s="483"/>
      <c r="F1004" s="483"/>
      <c r="G1004" s="483"/>
      <c r="H1004" s="483"/>
      <c r="I1004" s="483"/>
      <c r="J1004" s="483"/>
    </row>
    <row r="1005" customFormat="false" ht="14.25" hidden="false" customHeight="false" outlineLevel="0" collapsed="false">
      <c r="A1005" s="483"/>
      <c r="B1005" s="483"/>
      <c r="C1005" s="483"/>
      <c r="D1005" s="483"/>
      <c r="E1005" s="483"/>
      <c r="F1005" s="483"/>
      <c r="G1005" s="483"/>
      <c r="H1005" s="483"/>
      <c r="I1005" s="483"/>
      <c r="J1005" s="483"/>
    </row>
    <row r="1006" customFormat="false" ht="14.25" hidden="false" customHeight="false" outlineLevel="0" collapsed="false">
      <c r="A1006" s="483"/>
      <c r="B1006" s="483"/>
      <c r="C1006" s="483"/>
      <c r="D1006" s="483"/>
      <c r="E1006" s="483"/>
      <c r="F1006" s="483"/>
      <c r="G1006" s="483"/>
      <c r="H1006" s="483"/>
      <c r="I1006" s="483"/>
      <c r="J1006" s="483"/>
    </row>
    <row r="1007" customFormat="false" ht="14.25" hidden="false" customHeight="false" outlineLevel="0" collapsed="false">
      <c r="A1007" s="483"/>
      <c r="B1007" s="483"/>
      <c r="C1007" s="483"/>
      <c r="D1007" s="483"/>
      <c r="E1007" s="483"/>
      <c r="F1007" s="483"/>
      <c r="G1007" s="483"/>
      <c r="H1007" s="483"/>
      <c r="I1007" s="483"/>
      <c r="J1007" s="483"/>
    </row>
    <row r="1008" customFormat="false" ht="14.25" hidden="false" customHeight="false" outlineLevel="0" collapsed="false">
      <c r="A1008" s="483"/>
      <c r="B1008" s="483"/>
      <c r="C1008" s="483"/>
      <c r="D1008" s="483"/>
      <c r="E1008" s="483"/>
      <c r="F1008" s="483"/>
      <c r="G1008" s="483"/>
      <c r="H1008" s="483"/>
      <c r="I1008" s="483"/>
      <c r="J1008" s="483"/>
    </row>
    <row r="1009" customFormat="false" ht="14.25" hidden="false" customHeight="false" outlineLevel="0" collapsed="false">
      <c r="A1009" s="483"/>
      <c r="B1009" s="483"/>
      <c r="C1009" s="483"/>
      <c r="D1009" s="483"/>
      <c r="E1009" s="483"/>
      <c r="F1009" s="483"/>
      <c r="G1009" s="483"/>
      <c r="H1009" s="483"/>
      <c r="I1009" s="483"/>
      <c r="J1009" s="483"/>
    </row>
    <row r="1010" customFormat="false" ht="14.25" hidden="false" customHeight="false" outlineLevel="0" collapsed="false">
      <c r="A1010" s="483"/>
      <c r="B1010" s="483"/>
      <c r="C1010" s="483"/>
      <c r="D1010" s="483"/>
      <c r="E1010" s="483"/>
      <c r="F1010" s="483"/>
      <c r="G1010" s="483"/>
      <c r="H1010" s="483"/>
      <c r="I1010" s="483"/>
      <c r="J1010" s="483"/>
    </row>
    <row r="1011" customFormat="false" ht="14.25" hidden="false" customHeight="false" outlineLevel="0" collapsed="false">
      <c r="A1011" s="483"/>
      <c r="B1011" s="483"/>
      <c r="C1011" s="483"/>
      <c r="D1011" s="483"/>
      <c r="E1011" s="483"/>
      <c r="F1011" s="483"/>
      <c r="G1011" s="483"/>
      <c r="H1011" s="483"/>
      <c r="I1011" s="483"/>
      <c r="J1011" s="483"/>
    </row>
    <row r="1012" customFormat="false" ht="14.25" hidden="false" customHeight="false" outlineLevel="0" collapsed="false">
      <c r="A1012" s="483"/>
      <c r="B1012" s="483"/>
      <c r="C1012" s="483"/>
      <c r="D1012" s="483"/>
      <c r="E1012" s="483"/>
      <c r="F1012" s="483"/>
      <c r="G1012" s="483"/>
      <c r="H1012" s="483"/>
      <c r="I1012" s="483"/>
      <c r="J1012" s="483"/>
    </row>
    <row r="1013" customFormat="false" ht="14.25" hidden="false" customHeight="false" outlineLevel="0" collapsed="false">
      <c r="A1013" s="483"/>
      <c r="B1013" s="483"/>
      <c r="C1013" s="483"/>
      <c r="D1013" s="483"/>
      <c r="E1013" s="483"/>
      <c r="F1013" s="483"/>
      <c r="G1013" s="483"/>
      <c r="H1013" s="483"/>
      <c r="I1013" s="483"/>
      <c r="J1013" s="483"/>
    </row>
    <row r="1014" customFormat="false" ht="14.25" hidden="false" customHeight="false" outlineLevel="0" collapsed="false">
      <c r="A1014" s="483"/>
      <c r="B1014" s="483"/>
      <c r="C1014" s="483"/>
      <c r="D1014" s="483"/>
      <c r="E1014" s="483"/>
      <c r="F1014" s="483"/>
      <c r="G1014" s="483"/>
      <c r="H1014" s="483"/>
      <c r="I1014" s="483"/>
      <c r="J1014" s="483"/>
    </row>
    <row r="1015" customFormat="false" ht="14.25" hidden="false" customHeight="false" outlineLevel="0" collapsed="false">
      <c r="A1015" s="483"/>
      <c r="B1015" s="483"/>
      <c r="C1015" s="483"/>
      <c r="D1015" s="483"/>
      <c r="E1015" s="483"/>
      <c r="F1015" s="483"/>
      <c r="G1015" s="483"/>
      <c r="H1015" s="483"/>
      <c r="I1015" s="483"/>
      <c r="J1015" s="483"/>
    </row>
    <row r="1016" customFormat="false" ht="14.25" hidden="false" customHeight="false" outlineLevel="0" collapsed="false">
      <c r="A1016" s="483"/>
      <c r="B1016" s="483"/>
      <c r="C1016" s="483"/>
      <c r="D1016" s="483"/>
      <c r="E1016" s="483"/>
      <c r="F1016" s="483"/>
      <c r="G1016" s="483"/>
      <c r="H1016" s="483"/>
      <c r="I1016" s="483"/>
      <c r="J1016" s="483"/>
    </row>
    <row r="1017" customFormat="false" ht="14.25" hidden="false" customHeight="false" outlineLevel="0" collapsed="false">
      <c r="A1017" s="483"/>
      <c r="B1017" s="483"/>
      <c r="C1017" s="483"/>
      <c r="D1017" s="483"/>
      <c r="E1017" s="483"/>
      <c r="F1017" s="483"/>
      <c r="G1017" s="483"/>
      <c r="H1017" s="483"/>
      <c r="I1017" s="483"/>
      <c r="J1017" s="483"/>
    </row>
    <row r="1018" customFormat="false" ht="14.25" hidden="false" customHeight="false" outlineLevel="0" collapsed="false">
      <c r="A1018" s="483"/>
      <c r="B1018" s="483"/>
      <c r="C1018" s="483"/>
      <c r="D1018" s="483"/>
      <c r="E1018" s="483"/>
      <c r="F1018" s="483"/>
      <c r="G1018" s="483"/>
      <c r="H1018" s="483"/>
      <c r="I1018" s="483"/>
      <c r="J1018" s="483"/>
    </row>
    <row r="1019" customFormat="false" ht="14.25" hidden="false" customHeight="false" outlineLevel="0" collapsed="false">
      <c r="A1019" s="483"/>
      <c r="B1019" s="483"/>
      <c r="C1019" s="483"/>
      <c r="D1019" s="483"/>
      <c r="E1019" s="483"/>
      <c r="F1019" s="483"/>
      <c r="G1019" s="483"/>
      <c r="H1019" s="483"/>
      <c r="I1019" s="483"/>
      <c r="J1019" s="483"/>
    </row>
    <row r="1020" customFormat="false" ht="14.25" hidden="false" customHeight="false" outlineLevel="0" collapsed="false">
      <c r="A1020" s="483"/>
      <c r="B1020" s="483"/>
      <c r="C1020" s="483"/>
      <c r="D1020" s="483"/>
      <c r="E1020" s="483"/>
      <c r="F1020" s="483"/>
      <c r="G1020" s="483"/>
      <c r="H1020" s="483"/>
      <c r="I1020" s="483"/>
      <c r="J1020" s="483"/>
    </row>
    <row r="1021" customFormat="false" ht="14.25" hidden="false" customHeight="false" outlineLevel="0" collapsed="false">
      <c r="A1021" s="483"/>
      <c r="B1021" s="483"/>
      <c r="C1021" s="483"/>
      <c r="D1021" s="483"/>
      <c r="E1021" s="483"/>
      <c r="F1021" s="483"/>
      <c r="G1021" s="483"/>
      <c r="H1021" s="483"/>
      <c r="I1021" s="483"/>
      <c r="J1021" s="483"/>
    </row>
    <row r="1022" customFormat="false" ht="14.25" hidden="false" customHeight="false" outlineLevel="0" collapsed="false">
      <c r="A1022" s="483"/>
      <c r="B1022" s="483"/>
      <c r="C1022" s="483"/>
      <c r="D1022" s="483"/>
      <c r="E1022" s="483"/>
      <c r="F1022" s="483"/>
      <c r="G1022" s="483"/>
      <c r="H1022" s="483"/>
      <c r="I1022" s="483"/>
      <c r="J1022" s="483"/>
    </row>
    <row r="1023" customFormat="false" ht="14.25" hidden="false" customHeight="false" outlineLevel="0" collapsed="false">
      <c r="A1023" s="483"/>
      <c r="B1023" s="483"/>
      <c r="C1023" s="483"/>
      <c r="D1023" s="483"/>
      <c r="E1023" s="483"/>
      <c r="F1023" s="483"/>
      <c r="G1023" s="483"/>
      <c r="H1023" s="483"/>
      <c r="I1023" s="483"/>
      <c r="J1023" s="483"/>
    </row>
    <row r="1024" customFormat="false" ht="14.25" hidden="false" customHeight="false" outlineLevel="0" collapsed="false">
      <c r="A1024" s="483"/>
      <c r="B1024" s="483"/>
      <c r="C1024" s="483"/>
      <c r="D1024" s="483"/>
      <c r="E1024" s="483"/>
      <c r="F1024" s="483"/>
      <c r="G1024" s="483"/>
      <c r="H1024" s="483"/>
      <c r="I1024" s="483"/>
      <c r="J1024" s="483"/>
    </row>
    <row r="1025" customFormat="false" ht="14.25" hidden="false" customHeight="false" outlineLevel="0" collapsed="false">
      <c r="A1025" s="483"/>
      <c r="B1025" s="483"/>
      <c r="C1025" s="483"/>
      <c r="D1025" s="483"/>
      <c r="E1025" s="483"/>
      <c r="F1025" s="483"/>
      <c r="G1025" s="483"/>
      <c r="H1025" s="483"/>
      <c r="I1025" s="483"/>
      <c r="J1025" s="483"/>
    </row>
    <row r="1026" customFormat="false" ht="14.25" hidden="false" customHeight="false" outlineLevel="0" collapsed="false">
      <c r="A1026" s="483"/>
      <c r="B1026" s="483"/>
      <c r="C1026" s="483"/>
      <c r="D1026" s="483"/>
      <c r="E1026" s="483"/>
      <c r="F1026" s="483"/>
      <c r="G1026" s="483"/>
      <c r="H1026" s="483"/>
      <c r="I1026" s="483"/>
      <c r="J1026" s="483"/>
    </row>
    <row r="1027" customFormat="false" ht="14.25" hidden="false" customHeight="false" outlineLevel="0" collapsed="false">
      <c r="A1027" s="483"/>
      <c r="B1027" s="483"/>
      <c r="C1027" s="483"/>
      <c r="D1027" s="483"/>
      <c r="E1027" s="483"/>
      <c r="F1027" s="483"/>
      <c r="G1027" s="483"/>
      <c r="H1027" s="483"/>
      <c r="I1027" s="483"/>
      <c r="J1027" s="483"/>
    </row>
    <row r="1028" customFormat="false" ht="14.25" hidden="false" customHeight="false" outlineLevel="0" collapsed="false">
      <c r="A1028" s="483"/>
      <c r="B1028" s="483"/>
      <c r="C1028" s="483"/>
      <c r="D1028" s="483"/>
      <c r="E1028" s="483"/>
      <c r="F1028" s="483"/>
      <c r="G1028" s="483"/>
      <c r="H1028" s="483"/>
      <c r="I1028" s="483"/>
      <c r="J1028" s="483"/>
    </row>
    <row r="1029" customFormat="false" ht="14.25" hidden="false" customHeight="false" outlineLevel="0" collapsed="false">
      <c r="A1029" s="483"/>
      <c r="B1029" s="483"/>
      <c r="C1029" s="483"/>
      <c r="D1029" s="483"/>
      <c r="E1029" s="483"/>
      <c r="F1029" s="483"/>
      <c r="G1029" s="483"/>
      <c r="H1029" s="483"/>
      <c r="I1029" s="483"/>
      <c r="J1029" s="483"/>
    </row>
    <row r="1030" customFormat="false" ht="14.25" hidden="false" customHeight="false" outlineLevel="0" collapsed="false">
      <c r="A1030" s="483"/>
      <c r="B1030" s="483"/>
      <c r="C1030" s="483"/>
      <c r="D1030" s="483"/>
      <c r="E1030" s="483"/>
      <c r="F1030" s="483"/>
      <c r="G1030" s="483"/>
      <c r="H1030" s="483"/>
      <c r="I1030" s="483"/>
      <c r="J1030" s="483"/>
    </row>
    <row r="1031" customFormat="false" ht="14.25" hidden="false" customHeight="false" outlineLevel="0" collapsed="false">
      <c r="A1031" s="483"/>
      <c r="B1031" s="483"/>
      <c r="C1031" s="483"/>
      <c r="D1031" s="483"/>
      <c r="E1031" s="483"/>
      <c r="F1031" s="483"/>
      <c r="G1031" s="483"/>
      <c r="H1031" s="483"/>
      <c r="I1031" s="483"/>
      <c r="J1031" s="483"/>
    </row>
    <row r="1032" customFormat="false" ht="14.25" hidden="false" customHeight="false" outlineLevel="0" collapsed="false">
      <c r="A1032" s="483"/>
      <c r="B1032" s="483"/>
      <c r="C1032" s="483"/>
      <c r="D1032" s="483"/>
      <c r="E1032" s="483"/>
      <c r="F1032" s="483"/>
      <c r="G1032" s="483"/>
      <c r="H1032" s="483"/>
      <c r="I1032" s="483"/>
      <c r="J1032" s="483"/>
    </row>
    <row r="1033" customFormat="false" ht="14.25" hidden="false" customHeight="false" outlineLevel="0" collapsed="false">
      <c r="A1033" s="483"/>
      <c r="B1033" s="483"/>
      <c r="C1033" s="483"/>
      <c r="D1033" s="483"/>
      <c r="E1033" s="483"/>
      <c r="F1033" s="483"/>
      <c r="G1033" s="483"/>
      <c r="H1033" s="483"/>
      <c r="I1033" s="483"/>
      <c r="J1033" s="483"/>
    </row>
    <row r="1034" customFormat="false" ht="14.25" hidden="false" customHeight="false" outlineLevel="0" collapsed="false">
      <c r="A1034" s="483"/>
      <c r="B1034" s="483"/>
      <c r="C1034" s="483"/>
      <c r="D1034" s="483"/>
      <c r="E1034" s="483"/>
      <c r="F1034" s="483"/>
      <c r="G1034" s="483"/>
      <c r="H1034" s="483"/>
      <c r="I1034" s="483"/>
      <c r="J1034" s="483"/>
    </row>
    <row r="1035" customFormat="false" ht="14.25" hidden="false" customHeight="false" outlineLevel="0" collapsed="false">
      <c r="A1035" s="483"/>
      <c r="B1035" s="483"/>
      <c r="C1035" s="483"/>
      <c r="D1035" s="483"/>
      <c r="E1035" s="483"/>
      <c r="F1035" s="483"/>
      <c r="G1035" s="483"/>
      <c r="H1035" s="483"/>
      <c r="I1035" s="483"/>
      <c r="J1035" s="483"/>
    </row>
    <row r="1036" customFormat="false" ht="14.25" hidden="false" customHeight="false" outlineLevel="0" collapsed="false">
      <c r="A1036" s="483"/>
      <c r="B1036" s="483"/>
      <c r="C1036" s="483"/>
      <c r="D1036" s="483"/>
      <c r="E1036" s="483"/>
      <c r="F1036" s="483"/>
      <c r="G1036" s="483"/>
      <c r="H1036" s="483"/>
      <c r="I1036" s="483"/>
      <c r="J1036" s="483"/>
    </row>
    <row r="1037" customFormat="false" ht="14.25" hidden="false" customHeight="false" outlineLevel="0" collapsed="false">
      <c r="A1037" s="483"/>
      <c r="B1037" s="483"/>
      <c r="C1037" s="483"/>
      <c r="D1037" s="483"/>
      <c r="E1037" s="483"/>
      <c r="F1037" s="483"/>
      <c r="G1037" s="483"/>
      <c r="H1037" s="483"/>
      <c r="I1037" s="483"/>
      <c r="J1037" s="483"/>
    </row>
    <row r="1038" customFormat="false" ht="14.25" hidden="false" customHeight="false" outlineLevel="0" collapsed="false">
      <c r="A1038" s="483"/>
      <c r="B1038" s="483"/>
      <c r="C1038" s="483"/>
      <c r="D1038" s="483"/>
      <c r="E1038" s="483"/>
      <c r="F1038" s="483"/>
      <c r="G1038" s="483"/>
      <c r="H1038" s="483"/>
      <c r="I1038" s="483"/>
      <c r="J1038" s="483"/>
    </row>
    <row r="1039" customFormat="false" ht="14.25" hidden="false" customHeight="false" outlineLevel="0" collapsed="false">
      <c r="A1039" s="483"/>
      <c r="B1039" s="483"/>
      <c r="C1039" s="483"/>
      <c r="D1039" s="483"/>
      <c r="E1039" s="483"/>
      <c r="F1039" s="483"/>
      <c r="G1039" s="483"/>
      <c r="H1039" s="483"/>
      <c r="I1039" s="483"/>
      <c r="J1039" s="483"/>
    </row>
    <row r="1040" customFormat="false" ht="14.25" hidden="false" customHeight="false" outlineLevel="0" collapsed="false">
      <c r="A1040" s="483"/>
      <c r="B1040" s="483"/>
      <c r="C1040" s="483"/>
      <c r="D1040" s="483"/>
      <c r="E1040" s="483"/>
      <c r="F1040" s="483"/>
      <c r="G1040" s="483"/>
      <c r="H1040" s="483"/>
      <c r="I1040" s="483"/>
      <c r="J1040" s="483"/>
    </row>
    <row r="1041" customFormat="false" ht="14.25" hidden="false" customHeight="false" outlineLevel="0" collapsed="false">
      <c r="A1041" s="483"/>
      <c r="B1041" s="483"/>
      <c r="C1041" s="483"/>
      <c r="D1041" s="483"/>
      <c r="E1041" s="483"/>
      <c r="F1041" s="483"/>
      <c r="G1041" s="483"/>
      <c r="H1041" s="483"/>
      <c r="I1041" s="483"/>
      <c r="J1041" s="483"/>
    </row>
    <row r="1042" customFormat="false" ht="14.25" hidden="false" customHeight="false" outlineLevel="0" collapsed="false">
      <c r="A1042" s="483"/>
      <c r="B1042" s="483"/>
      <c r="C1042" s="483"/>
      <c r="D1042" s="483"/>
      <c r="E1042" s="483"/>
      <c r="F1042" s="483"/>
      <c r="G1042" s="483"/>
      <c r="H1042" s="483"/>
      <c r="I1042" s="483"/>
      <c r="J1042" s="483"/>
    </row>
    <row r="1043" customFormat="false" ht="14.25" hidden="false" customHeight="false" outlineLevel="0" collapsed="false">
      <c r="A1043" s="483"/>
      <c r="B1043" s="483"/>
      <c r="C1043" s="483"/>
      <c r="D1043" s="483"/>
      <c r="E1043" s="483"/>
      <c r="F1043" s="483"/>
      <c r="G1043" s="483"/>
      <c r="H1043" s="483"/>
      <c r="I1043" s="483"/>
      <c r="J1043" s="483"/>
    </row>
    <row r="1044" customFormat="false" ht="14.25" hidden="false" customHeight="false" outlineLevel="0" collapsed="false">
      <c r="A1044" s="483"/>
      <c r="B1044" s="483"/>
      <c r="C1044" s="483"/>
      <c r="D1044" s="483"/>
      <c r="E1044" s="483"/>
      <c r="F1044" s="483"/>
      <c r="G1044" s="483"/>
      <c r="H1044" s="483"/>
      <c r="I1044" s="483"/>
      <c r="J1044" s="483"/>
    </row>
    <row r="1045" customFormat="false" ht="14.25" hidden="false" customHeight="false" outlineLevel="0" collapsed="false">
      <c r="A1045" s="483"/>
      <c r="B1045" s="483"/>
      <c r="C1045" s="483"/>
      <c r="D1045" s="483"/>
      <c r="E1045" s="483"/>
      <c r="F1045" s="483"/>
      <c r="G1045" s="483"/>
      <c r="H1045" s="483"/>
      <c r="I1045" s="483"/>
      <c r="J1045" s="483"/>
    </row>
    <row r="1046" customFormat="false" ht="14.25" hidden="false" customHeight="false" outlineLevel="0" collapsed="false">
      <c r="A1046" s="483"/>
      <c r="B1046" s="483"/>
      <c r="C1046" s="483"/>
      <c r="D1046" s="483"/>
      <c r="E1046" s="483"/>
      <c r="F1046" s="483"/>
      <c r="G1046" s="483"/>
      <c r="H1046" s="483"/>
      <c r="I1046" s="483"/>
      <c r="J1046" s="483"/>
    </row>
    <row r="1047" customFormat="false" ht="14.25" hidden="false" customHeight="false" outlineLevel="0" collapsed="false">
      <c r="A1047" s="483"/>
      <c r="B1047" s="483"/>
      <c r="C1047" s="483"/>
      <c r="D1047" s="483"/>
      <c r="E1047" s="483"/>
      <c r="F1047" s="483"/>
      <c r="G1047" s="483"/>
      <c r="H1047" s="483"/>
      <c r="I1047" s="483"/>
      <c r="J1047" s="483"/>
    </row>
    <row r="1048" customFormat="false" ht="14.25" hidden="false" customHeight="false" outlineLevel="0" collapsed="false">
      <c r="A1048" s="483"/>
      <c r="B1048" s="483"/>
      <c r="C1048" s="483"/>
      <c r="D1048" s="483"/>
      <c r="E1048" s="483"/>
      <c r="F1048" s="483"/>
      <c r="G1048" s="483"/>
      <c r="H1048" s="483"/>
      <c r="I1048" s="483"/>
      <c r="J1048" s="483"/>
    </row>
    <row r="1049" customFormat="false" ht="14.25" hidden="false" customHeight="false" outlineLevel="0" collapsed="false">
      <c r="A1049" s="483"/>
      <c r="B1049" s="483"/>
      <c r="C1049" s="483"/>
      <c r="D1049" s="483"/>
      <c r="E1049" s="483"/>
      <c r="F1049" s="483"/>
      <c r="G1049" s="483"/>
      <c r="H1049" s="483"/>
      <c r="I1049" s="483"/>
      <c r="J1049" s="483"/>
    </row>
    <row r="1050" customFormat="false" ht="14.25" hidden="false" customHeight="false" outlineLevel="0" collapsed="false">
      <c r="A1050" s="483"/>
      <c r="B1050" s="483"/>
      <c r="C1050" s="483"/>
      <c r="D1050" s="483"/>
      <c r="E1050" s="483"/>
      <c r="F1050" s="483"/>
      <c r="G1050" s="483"/>
      <c r="H1050" s="483"/>
      <c r="I1050" s="483"/>
      <c r="J1050" s="483"/>
    </row>
    <row r="1051" customFormat="false" ht="14.25" hidden="false" customHeight="false" outlineLevel="0" collapsed="false">
      <c r="A1051" s="483"/>
      <c r="B1051" s="483"/>
      <c r="C1051" s="483"/>
      <c r="D1051" s="483"/>
      <c r="E1051" s="483"/>
      <c r="F1051" s="483"/>
      <c r="G1051" s="483"/>
      <c r="H1051" s="483"/>
      <c r="I1051" s="483"/>
      <c r="J1051" s="483"/>
    </row>
    <row r="1052" customFormat="false" ht="14.25" hidden="false" customHeight="false" outlineLevel="0" collapsed="false">
      <c r="A1052" s="483"/>
      <c r="B1052" s="483"/>
      <c r="C1052" s="483"/>
      <c r="D1052" s="483"/>
      <c r="E1052" s="483"/>
      <c r="F1052" s="483"/>
      <c r="G1052" s="483"/>
      <c r="H1052" s="483"/>
      <c r="I1052" s="483"/>
      <c r="J1052" s="483"/>
    </row>
    <row r="1053" customFormat="false" ht="14.25" hidden="false" customHeight="false" outlineLevel="0" collapsed="false">
      <c r="A1053" s="483"/>
      <c r="B1053" s="483"/>
      <c r="C1053" s="483"/>
      <c r="D1053" s="483"/>
      <c r="E1053" s="483"/>
      <c r="F1053" s="483"/>
      <c r="G1053" s="483"/>
      <c r="H1053" s="483"/>
      <c r="I1053" s="483"/>
      <c r="J1053" s="483"/>
    </row>
    <row r="1054" customFormat="false" ht="14.25" hidden="false" customHeight="false" outlineLevel="0" collapsed="false">
      <c r="A1054" s="483"/>
      <c r="B1054" s="483"/>
      <c r="C1054" s="483"/>
      <c r="D1054" s="483"/>
      <c r="E1054" s="483"/>
      <c r="F1054" s="483"/>
      <c r="G1054" s="483"/>
      <c r="H1054" s="483"/>
      <c r="I1054" s="483"/>
      <c r="J1054" s="483"/>
    </row>
    <row r="1055" customFormat="false" ht="14.25" hidden="false" customHeight="false" outlineLevel="0" collapsed="false">
      <c r="A1055" s="483"/>
      <c r="B1055" s="483"/>
      <c r="C1055" s="483"/>
      <c r="D1055" s="483"/>
      <c r="E1055" s="483"/>
      <c r="F1055" s="483"/>
      <c r="G1055" s="483"/>
      <c r="H1055" s="483"/>
      <c r="I1055" s="483"/>
      <c r="J1055" s="483"/>
    </row>
    <row r="1056" customFormat="false" ht="14.25" hidden="false" customHeight="false" outlineLevel="0" collapsed="false">
      <c r="A1056" s="483"/>
      <c r="B1056" s="483"/>
      <c r="C1056" s="483"/>
      <c r="D1056" s="483"/>
      <c r="E1056" s="483"/>
      <c r="F1056" s="483"/>
      <c r="G1056" s="483"/>
      <c r="H1056" s="483"/>
      <c r="I1056" s="483"/>
      <c r="J1056" s="483"/>
    </row>
    <row r="1057" customFormat="false" ht="14.25" hidden="false" customHeight="false" outlineLevel="0" collapsed="false">
      <c r="A1057" s="483"/>
      <c r="B1057" s="483"/>
      <c r="C1057" s="483"/>
      <c r="D1057" s="483"/>
      <c r="E1057" s="483"/>
      <c r="F1057" s="483"/>
      <c r="G1057" s="483"/>
      <c r="H1057" s="483"/>
      <c r="I1057" s="483"/>
      <c r="J1057" s="483"/>
    </row>
    <row r="1058" customFormat="false" ht="14.25" hidden="false" customHeight="false" outlineLevel="0" collapsed="false">
      <c r="A1058" s="483"/>
      <c r="B1058" s="483"/>
      <c r="C1058" s="483"/>
      <c r="D1058" s="483"/>
      <c r="E1058" s="483"/>
      <c r="F1058" s="483"/>
      <c r="G1058" s="483"/>
      <c r="H1058" s="483"/>
      <c r="I1058" s="483"/>
      <c r="J1058" s="483"/>
    </row>
    <row r="1059" customFormat="false" ht="14.25" hidden="false" customHeight="false" outlineLevel="0" collapsed="false">
      <c r="A1059" s="483"/>
      <c r="B1059" s="483"/>
      <c r="C1059" s="483"/>
      <c r="D1059" s="483"/>
      <c r="E1059" s="483"/>
      <c r="F1059" s="483"/>
      <c r="G1059" s="483"/>
      <c r="H1059" s="483"/>
      <c r="I1059" s="483"/>
      <c r="J1059" s="483"/>
    </row>
    <row r="1060" customFormat="false" ht="14.25" hidden="false" customHeight="false" outlineLevel="0" collapsed="false">
      <c r="A1060" s="483"/>
      <c r="B1060" s="483"/>
      <c r="C1060" s="483"/>
      <c r="D1060" s="483"/>
      <c r="E1060" s="483"/>
      <c r="F1060" s="483"/>
      <c r="G1060" s="483"/>
      <c r="H1060" s="483"/>
      <c r="I1060" s="483"/>
      <c r="J1060" s="483"/>
    </row>
    <row r="1061" customFormat="false" ht="14.25" hidden="false" customHeight="false" outlineLevel="0" collapsed="false">
      <c r="A1061" s="483"/>
      <c r="B1061" s="483"/>
      <c r="C1061" s="483"/>
      <c r="D1061" s="483"/>
      <c r="E1061" s="483"/>
      <c r="F1061" s="483"/>
      <c r="G1061" s="483"/>
      <c r="H1061" s="483"/>
      <c r="I1061" s="483"/>
      <c r="J1061" s="483"/>
    </row>
    <row r="1062" customFormat="false" ht="14.25" hidden="false" customHeight="false" outlineLevel="0" collapsed="false">
      <c r="A1062" s="483"/>
      <c r="B1062" s="483"/>
      <c r="C1062" s="483"/>
      <c r="D1062" s="483"/>
      <c r="E1062" s="483"/>
      <c r="F1062" s="483"/>
      <c r="G1062" s="483"/>
      <c r="H1062" s="483"/>
      <c r="I1062" s="483"/>
      <c r="J1062" s="483"/>
    </row>
    <row r="1063" customFormat="false" ht="14.25" hidden="false" customHeight="false" outlineLevel="0" collapsed="false">
      <c r="A1063" s="483"/>
      <c r="B1063" s="483"/>
      <c r="C1063" s="483"/>
      <c r="D1063" s="483"/>
      <c r="E1063" s="483"/>
      <c r="F1063" s="483"/>
      <c r="G1063" s="483"/>
      <c r="H1063" s="483"/>
      <c r="I1063" s="483"/>
      <c r="J1063" s="483"/>
    </row>
    <row r="1064" customFormat="false" ht="14.25" hidden="false" customHeight="false" outlineLevel="0" collapsed="false">
      <c r="A1064" s="483"/>
      <c r="B1064" s="483"/>
      <c r="C1064" s="483"/>
      <c r="D1064" s="483"/>
      <c r="E1064" s="483"/>
      <c r="F1064" s="483"/>
      <c r="G1064" s="483"/>
      <c r="H1064" s="483"/>
      <c r="I1064" s="483"/>
      <c r="J1064" s="483"/>
    </row>
    <row r="1065" customFormat="false" ht="14.25" hidden="false" customHeight="false" outlineLevel="0" collapsed="false">
      <c r="A1065" s="483"/>
      <c r="B1065" s="483"/>
      <c r="C1065" s="483"/>
      <c r="D1065" s="483"/>
      <c r="E1065" s="483"/>
      <c r="F1065" s="483"/>
      <c r="G1065" s="483"/>
      <c r="H1065" s="483"/>
      <c r="I1065" s="483"/>
      <c r="J1065" s="483"/>
    </row>
    <row r="1066" customFormat="false" ht="14.25" hidden="false" customHeight="false" outlineLevel="0" collapsed="false">
      <c r="A1066" s="483"/>
      <c r="B1066" s="483"/>
      <c r="C1066" s="483"/>
      <c r="D1066" s="483"/>
      <c r="E1066" s="483"/>
      <c r="F1066" s="483"/>
      <c r="G1066" s="483"/>
      <c r="H1066" s="483"/>
      <c r="I1066" s="483"/>
      <c r="J1066" s="483"/>
    </row>
    <row r="1067" customFormat="false" ht="14.25" hidden="false" customHeight="false" outlineLevel="0" collapsed="false">
      <c r="A1067" s="483"/>
      <c r="B1067" s="483"/>
      <c r="C1067" s="483"/>
      <c r="D1067" s="483"/>
      <c r="E1067" s="483"/>
      <c r="F1067" s="483"/>
      <c r="G1067" s="483"/>
      <c r="H1067" s="483"/>
      <c r="I1067" s="483"/>
      <c r="J1067" s="483"/>
    </row>
    <row r="1068" customFormat="false" ht="14.25" hidden="false" customHeight="false" outlineLevel="0" collapsed="false">
      <c r="A1068" s="483"/>
      <c r="B1068" s="483"/>
      <c r="C1068" s="483"/>
      <c r="D1068" s="483"/>
      <c r="E1068" s="483"/>
      <c r="F1068" s="483"/>
      <c r="G1068" s="483"/>
      <c r="H1068" s="483"/>
      <c r="I1068" s="483"/>
      <c r="J1068" s="483"/>
    </row>
    <row r="1069" customFormat="false" ht="14.25" hidden="false" customHeight="false" outlineLevel="0" collapsed="false">
      <c r="A1069" s="483"/>
      <c r="B1069" s="483"/>
      <c r="C1069" s="483"/>
      <c r="D1069" s="483"/>
      <c r="E1069" s="483"/>
      <c r="F1069" s="483"/>
      <c r="G1069" s="483"/>
      <c r="H1069" s="483"/>
      <c r="I1069" s="483"/>
      <c r="J1069" s="483"/>
    </row>
    <row r="1070" customFormat="false" ht="14.25" hidden="false" customHeight="false" outlineLevel="0" collapsed="false">
      <c r="A1070" s="483"/>
      <c r="B1070" s="483"/>
      <c r="C1070" s="483"/>
      <c r="D1070" s="483"/>
      <c r="E1070" s="483"/>
      <c r="F1070" s="483"/>
      <c r="G1070" s="483"/>
      <c r="H1070" s="483"/>
      <c r="I1070" s="483"/>
      <c r="J1070" s="483"/>
    </row>
    <row r="1071" customFormat="false" ht="14.25" hidden="false" customHeight="false" outlineLevel="0" collapsed="false">
      <c r="A1071" s="483"/>
      <c r="B1071" s="483"/>
      <c r="C1071" s="483"/>
      <c r="D1071" s="483"/>
      <c r="E1071" s="483"/>
      <c r="F1071" s="483"/>
      <c r="G1071" s="483"/>
      <c r="H1071" s="483"/>
      <c r="I1071" s="483"/>
      <c r="J1071" s="483"/>
    </row>
    <row r="1072" customFormat="false" ht="14.25" hidden="false" customHeight="false" outlineLevel="0" collapsed="false">
      <c r="A1072" s="483"/>
      <c r="B1072" s="483"/>
      <c r="C1072" s="483"/>
      <c r="D1072" s="483"/>
      <c r="E1072" s="483"/>
      <c r="F1072" s="483"/>
      <c r="G1072" s="483"/>
      <c r="H1072" s="483"/>
      <c r="I1072" s="483"/>
      <c r="J1072" s="483"/>
    </row>
    <row r="1073" customFormat="false" ht="14.25" hidden="false" customHeight="false" outlineLevel="0" collapsed="false">
      <c r="A1073" s="483"/>
      <c r="B1073" s="483"/>
      <c r="C1073" s="483"/>
      <c r="D1073" s="483"/>
      <c r="E1073" s="483"/>
      <c r="F1073" s="483"/>
      <c r="G1073" s="483"/>
      <c r="H1073" s="483"/>
      <c r="I1073" s="483"/>
      <c r="J1073" s="483"/>
    </row>
    <row r="1074" customFormat="false" ht="14.25" hidden="false" customHeight="false" outlineLevel="0" collapsed="false">
      <c r="A1074" s="483"/>
      <c r="B1074" s="483"/>
      <c r="C1074" s="483"/>
      <c r="D1074" s="483"/>
      <c r="E1074" s="483"/>
      <c r="F1074" s="483"/>
      <c r="G1074" s="483"/>
      <c r="H1074" s="483"/>
      <c r="I1074" s="483"/>
      <c r="J1074" s="483"/>
    </row>
    <row r="1075" customFormat="false" ht="14.25" hidden="false" customHeight="false" outlineLevel="0" collapsed="false">
      <c r="A1075" s="483"/>
      <c r="B1075" s="483"/>
      <c r="C1075" s="483"/>
      <c r="D1075" s="483"/>
      <c r="E1075" s="483"/>
      <c r="F1075" s="483"/>
      <c r="G1075" s="483"/>
      <c r="H1075" s="483"/>
      <c r="I1075" s="483"/>
      <c r="J1075" s="483"/>
    </row>
    <row r="1076" customFormat="false" ht="14.25" hidden="false" customHeight="false" outlineLevel="0" collapsed="false">
      <c r="A1076" s="483"/>
      <c r="B1076" s="483"/>
      <c r="C1076" s="483"/>
      <c r="D1076" s="483"/>
      <c r="E1076" s="483"/>
      <c r="F1076" s="483"/>
      <c r="G1076" s="483"/>
      <c r="H1076" s="483"/>
      <c r="I1076" s="483"/>
      <c r="J1076" s="483"/>
    </row>
    <row r="1077" customFormat="false" ht="14.25" hidden="false" customHeight="false" outlineLevel="0" collapsed="false">
      <c r="A1077" s="483"/>
      <c r="B1077" s="483"/>
      <c r="C1077" s="483"/>
      <c r="D1077" s="483"/>
      <c r="E1077" s="483"/>
      <c r="F1077" s="483"/>
      <c r="G1077" s="483"/>
      <c r="H1077" s="483"/>
      <c r="I1077" s="483"/>
      <c r="J1077" s="483"/>
    </row>
    <row r="1078" customFormat="false" ht="14.25" hidden="false" customHeight="false" outlineLevel="0" collapsed="false">
      <c r="A1078" s="483"/>
      <c r="B1078" s="483"/>
      <c r="C1078" s="483"/>
      <c r="D1078" s="483"/>
      <c r="E1078" s="483"/>
      <c r="F1078" s="483"/>
      <c r="G1078" s="483"/>
      <c r="H1078" s="483"/>
      <c r="I1078" s="483"/>
      <c r="J1078" s="483"/>
    </row>
    <row r="1079" customFormat="false" ht="14.25" hidden="false" customHeight="false" outlineLevel="0" collapsed="false">
      <c r="A1079" s="483"/>
      <c r="B1079" s="483"/>
      <c r="C1079" s="483"/>
      <c r="D1079" s="483"/>
      <c r="E1079" s="483"/>
      <c r="F1079" s="483"/>
      <c r="G1079" s="483"/>
      <c r="H1079" s="483"/>
      <c r="I1079" s="483"/>
      <c r="J1079" s="483"/>
    </row>
    <row r="1080" customFormat="false" ht="14.25" hidden="false" customHeight="false" outlineLevel="0" collapsed="false">
      <c r="A1080" s="483"/>
      <c r="B1080" s="483"/>
      <c r="C1080" s="483"/>
      <c r="D1080" s="483"/>
      <c r="E1080" s="483"/>
      <c r="F1080" s="483"/>
      <c r="G1080" s="483"/>
      <c r="H1080" s="483"/>
      <c r="I1080" s="483"/>
      <c r="J1080" s="483"/>
    </row>
    <row r="1081" customFormat="false" ht="14.25" hidden="false" customHeight="false" outlineLevel="0" collapsed="false">
      <c r="A1081" s="483"/>
      <c r="B1081" s="483"/>
      <c r="C1081" s="483"/>
      <c r="D1081" s="483"/>
      <c r="E1081" s="483"/>
      <c r="F1081" s="483"/>
      <c r="G1081" s="483"/>
      <c r="H1081" s="483"/>
      <c r="I1081" s="483"/>
      <c r="J1081" s="483"/>
    </row>
    <row r="1082" customFormat="false" ht="14.25" hidden="false" customHeight="false" outlineLevel="0" collapsed="false">
      <c r="A1082" s="483"/>
      <c r="B1082" s="483"/>
      <c r="C1082" s="483"/>
      <c r="D1082" s="483"/>
      <c r="E1082" s="483"/>
      <c r="F1082" s="483"/>
      <c r="G1082" s="483"/>
      <c r="H1082" s="483"/>
      <c r="I1082" s="483"/>
      <c r="J1082" s="483"/>
    </row>
    <row r="1083" customFormat="false" ht="14.25" hidden="false" customHeight="false" outlineLevel="0" collapsed="false">
      <c r="A1083" s="483"/>
      <c r="B1083" s="483"/>
      <c r="C1083" s="483"/>
      <c r="D1083" s="483"/>
      <c r="E1083" s="483"/>
      <c r="F1083" s="483"/>
      <c r="G1083" s="483"/>
      <c r="H1083" s="483"/>
      <c r="I1083" s="483"/>
      <c r="J1083" s="483"/>
    </row>
    <row r="1084" customFormat="false" ht="14.25" hidden="false" customHeight="false" outlineLevel="0" collapsed="false">
      <c r="A1084" s="483"/>
      <c r="B1084" s="483"/>
      <c r="C1084" s="483"/>
      <c r="D1084" s="483"/>
      <c r="E1084" s="483"/>
      <c r="F1084" s="483"/>
      <c r="G1084" s="483"/>
      <c r="H1084" s="483"/>
      <c r="I1084" s="483"/>
      <c r="J1084" s="483"/>
    </row>
    <row r="1085" customFormat="false" ht="14.25" hidden="false" customHeight="false" outlineLevel="0" collapsed="false">
      <c r="A1085" s="483"/>
      <c r="B1085" s="483"/>
      <c r="C1085" s="483"/>
      <c r="D1085" s="483"/>
      <c r="E1085" s="483"/>
      <c r="F1085" s="483"/>
      <c r="G1085" s="483"/>
      <c r="H1085" s="483"/>
      <c r="I1085" s="483"/>
      <c r="J1085" s="483"/>
    </row>
    <row r="1086" customFormat="false" ht="14.25" hidden="false" customHeight="false" outlineLevel="0" collapsed="false">
      <c r="A1086" s="483"/>
      <c r="B1086" s="483"/>
      <c r="C1086" s="483"/>
      <c r="D1086" s="483"/>
      <c r="E1086" s="483"/>
      <c r="F1086" s="483"/>
      <c r="G1086" s="483"/>
      <c r="H1086" s="483"/>
      <c r="I1086" s="483"/>
      <c r="J1086" s="483"/>
    </row>
    <row r="1087" customFormat="false" ht="14.25" hidden="false" customHeight="false" outlineLevel="0" collapsed="false">
      <c r="A1087" s="483"/>
      <c r="B1087" s="483"/>
      <c r="C1087" s="483"/>
      <c r="D1087" s="483"/>
      <c r="E1087" s="483"/>
      <c r="F1087" s="483"/>
      <c r="G1087" s="483"/>
      <c r="H1087" s="483"/>
      <c r="I1087" s="483"/>
      <c r="J1087" s="483"/>
    </row>
    <row r="1088" customFormat="false" ht="14.25" hidden="false" customHeight="false" outlineLevel="0" collapsed="false">
      <c r="A1088" s="483"/>
      <c r="B1088" s="483"/>
      <c r="C1088" s="483"/>
      <c r="D1088" s="483"/>
      <c r="E1088" s="483"/>
      <c r="F1088" s="483"/>
      <c r="G1088" s="483"/>
      <c r="H1088" s="483"/>
      <c r="I1088" s="483"/>
      <c r="J1088" s="483"/>
    </row>
    <row r="1089" customFormat="false" ht="14.25" hidden="false" customHeight="false" outlineLevel="0" collapsed="false">
      <c r="A1089" s="483"/>
      <c r="B1089" s="483"/>
      <c r="C1089" s="483"/>
      <c r="D1089" s="483"/>
      <c r="E1089" s="483"/>
      <c r="F1089" s="483"/>
      <c r="G1089" s="483"/>
      <c r="H1089" s="483"/>
      <c r="I1089" s="483"/>
      <c r="J1089" s="483"/>
    </row>
    <row r="1090" customFormat="false" ht="14.25" hidden="false" customHeight="false" outlineLevel="0" collapsed="false">
      <c r="A1090" s="483"/>
      <c r="B1090" s="483"/>
      <c r="C1090" s="483"/>
      <c r="D1090" s="483"/>
      <c r="E1090" s="483"/>
      <c r="F1090" s="483"/>
      <c r="G1090" s="483"/>
      <c r="H1090" s="483"/>
      <c r="I1090" s="483"/>
      <c r="J1090" s="483"/>
    </row>
    <row r="1091" customFormat="false" ht="14.25" hidden="false" customHeight="false" outlineLevel="0" collapsed="false">
      <c r="A1091" s="483"/>
      <c r="B1091" s="483"/>
      <c r="C1091" s="483"/>
      <c r="D1091" s="483"/>
      <c r="E1091" s="483"/>
      <c r="F1091" s="483"/>
      <c r="G1091" s="483"/>
      <c r="H1091" s="483"/>
      <c r="I1091" s="483"/>
      <c r="J1091" s="483"/>
    </row>
    <row r="1092" customFormat="false" ht="14.25" hidden="false" customHeight="false" outlineLevel="0" collapsed="false">
      <c r="A1092" s="483"/>
      <c r="B1092" s="483"/>
      <c r="C1092" s="483"/>
      <c r="D1092" s="483"/>
      <c r="E1092" s="483"/>
      <c r="F1092" s="483"/>
      <c r="G1092" s="483"/>
      <c r="H1092" s="483"/>
      <c r="I1092" s="483"/>
      <c r="J1092" s="483"/>
    </row>
    <row r="1093" customFormat="false" ht="14.25" hidden="false" customHeight="false" outlineLevel="0" collapsed="false">
      <c r="A1093" s="483"/>
      <c r="B1093" s="483"/>
      <c r="C1093" s="483"/>
      <c r="D1093" s="483"/>
      <c r="E1093" s="483"/>
      <c r="F1093" s="483"/>
      <c r="G1093" s="483"/>
      <c r="H1093" s="483"/>
      <c r="I1093" s="483"/>
      <c r="J1093" s="483"/>
    </row>
    <row r="1094" customFormat="false" ht="14.25" hidden="false" customHeight="false" outlineLevel="0" collapsed="false">
      <c r="A1094" s="483"/>
      <c r="B1094" s="483"/>
      <c r="C1094" s="483"/>
      <c r="D1094" s="483"/>
      <c r="E1094" s="483"/>
      <c r="F1094" s="483"/>
      <c r="G1094" s="483"/>
      <c r="H1094" s="483"/>
      <c r="I1094" s="483"/>
      <c r="J1094" s="483"/>
    </row>
    <row r="1095" customFormat="false" ht="14.25" hidden="false" customHeight="false" outlineLevel="0" collapsed="false">
      <c r="A1095" s="483"/>
      <c r="B1095" s="483"/>
      <c r="C1095" s="483"/>
      <c r="D1095" s="483"/>
      <c r="E1095" s="483"/>
      <c r="F1095" s="483"/>
      <c r="G1095" s="483"/>
      <c r="H1095" s="483"/>
      <c r="I1095" s="483"/>
      <c r="J1095" s="483"/>
    </row>
    <row r="1096" customFormat="false" ht="14.25" hidden="false" customHeight="false" outlineLevel="0" collapsed="false">
      <c r="A1096" s="483"/>
      <c r="B1096" s="483"/>
      <c r="C1096" s="483"/>
      <c r="D1096" s="483"/>
      <c r="E1096" s="483"/>
      <c r="F1096" s="483"/>
      <c r="G1096" s="483"/>
      <c r="H1096" s="483"/>
      <c r="I1096" s="483"/>
      <c r="J1096" s="483"/>
    </row>
    <row r="1097" customFormat="false" ht="14.25" hidden="false" customHeight="false" outlineLevel="0" collapsed="false">
      <c r="A1097" s="483"/>
      <c r="B1097" s="483"/>
      <c r="C1097" s="483"/>
      <c r="D1097" s="483"/>
      <c r="E1097" s="483"/>
      <c r="F1097" s="483"/>
      <c r="G1097" s="483"/>
      <c r="H1097" s="483"/>
      <c r="I1097" s="483"/>
      <c r="J1097" s="483"/>
    </row>
    <row r="1098" customFormat="false" ht="14.25" hidden="false" customHeight="false" outlineLevel="0" collapsed="false">
      <c r="A1098" s="483"/>
      <c r="B1098" s="483"/>
      <c r="C1098" s="483"/>
      <c r="D1098" s="483"/>
      <c r="E1098" s="483"/>
      <c r="F1098" s="483"/>
      <c r="G1098" s="483"/>
      <c r="H1098" s="483"/>
      <c r="I1098" s="483"/>
      <c r="J1098" s="483"/>
    </row>
    <row r="1099" customFormat="false" ht="14.25" hidden="false" customHeight="false" outlineLevel="0" collapsed="false">
      <c r="A1099" s="483"/>
      <c r="B1099" s="483"/>
      <c r="C1099" s="483"/>
      <c r="D1099" s="483"/>
      <c r="E1099" s="483"/>
      <c r="F1099" s="483"/>
      <c r="G1099" s="483"/>
      <c r="H1099" s="483"/>
      <c r="I1099" s="483"/>
      <c r="J1099" s="483"/>
    </row>
    <row r="1100" customFormat="false" ht="14.25" hidden="false" customHeight="false" outlineLevel="0" collapsed="false">
      <c r="A1100" s="483"/>
      <c r="B1100" s="483"/>
      <c r="C1100" s="483"/>
      <c r="D1100" s="483"/>
      <c r="E1100" s="483"/>
      <c r="F1100" s="483"/>
      <c r="G1100" s="483"/>
      <c r="H1100" s="483"/>
      <c r="I1100" s="483"/>
      <c r="J1100" s="483"/>
    </row>
    <row r="1101" customFormat="false" ht="14.25" hidden="false" customHeight="false" outlineLevel="0" collapsed="false">
      <c r="A1101" s="483"/>
      <c r="B1101" s="483"/>
      <c r="C1101" s="483"/>
      <c r="D1101" s="483"/>
      <c r="E1101" s="483"/>
      <c r="F1101" s="483"/>
      <c r="G1101" s="483"/>
      <c r="H1101" s="483"/>
      <c r="I1101" s="483"/>
      <c r="J1101" s="483"/>
    </row>
    <row r="1102" customFormat="false" ht="14.25" hidden="false" customHeight="false" outlineLevel="0" collapsed="false">
      <c r="A1102" s="483"/>
      <c r="B1102" s="483"/>
      <c r="C1102" s="483"/>
      <c r="D1102" s="483"/>
      <c r="E1102" s="483"/>
      <c r="F1102" s="483"/>
      <c r="G1102" s="483"/>
      <c r="H1102" s="483"/>
      <c r="I1102" s="483"/>
      <c r="J1102" s="483"/>
    </row>
    <row r="1103" customFormat="false" ht="14.25" hidden="false" customHeight="false" outlineLevel="0" collapsed="false">
      <c r="A1103" s="483"/>
      <c r="B1103" s="483"/>
      <c r="C1103" s="483"/>
      <c r="D1103" s="483"/>
      <c r="E1103" s="483"/>
      <c r="F1103" s="483"/>
      <c r="G1103" s="483"/>
      <c r="H1103" s="483"/>
      <c r="I1103" s="483"/>
      <c r="J1103" s="483"/>
    </row>
    <row r="1104" customFormat="false" ht="14.25" hidden="false" customHeight="false" outlineLevel="0" collapsed="false">
      <c r="A1104" s="483"/>
      <c r="B1104" s="483"/>
      <c r="C1104" s="483"/>
      <c r="D1104" s="483"/>
      <c r="E1104" s="483"/>
      <c r="F1104" s="483"/>
      <c r="G1104" s="483"/>
      <c r="H1104" s="483"/>
      <c r="I1104" s="483"/>
      <c r="J1104" s="483"/>
    </row>
    <row r="1105" customFormat="false" ht="14.25" hidden="false" customHeight="false" outlineLevel="0" collapsed="false">
      <c r="A1105" s="483"/>
      <c r="B1105" s="483"/>
      <c r="C1105" s="483"/>
      <c r="D1105" s="483"/>
      <c r="E1105" s="483"/>
      <c r="F1105" s="483"/>
      <c r="G1105" s="483"/>
      <c r="H1105" s="483"/>
      <c r="I1105" s="483"/>
      <c r="J1105" s="483"/>
    </row>
    <row r="1106" customFormat="false" ht="14.25" hidden="false" customHeight="false" outlineLevel="0" collapsed="false">
      <c r="A1106" s="483"/>
      <c r="B1106" s="483"/>
      <c r="C1106" s="483"/>
      <c r="D1106" s="483"/>
      <c r="E1106" s="483"/>
      <c r="F1106" s="483"/>
      <c r="G1106" s="483"/>
      <c r="H1106" s="483"/>
      <c r="I1106" s="483"/>
      <c r="J1106" s="483"/>
    </row>
    <row r="1107" customFormat="false" ht="14.25" hidden="false" customHeight="false" outlineLevel="0" collapsed="false">
      <c r="A1107" s="483"/>
      <c r="B1107" s="483"/>
      <c r="C1107" s="483"/>
      <c r="D1107" s="483"/>
      <c r="E1107" s="483"/>
      <c r="F1107" s="483"/>
      <c r="G1107" s="483"/>
      <c r="H1107" s="483"/>
      <c r="I1107" s="483"/>
      <c r="J1107" s="483"/>
    </row>
    <row r="1108" customFormat="false" ht="14.25" hidden="false" customHeight="false" outlineLevel="0" collapsed="false">
      <c r="A1108" s="483"/>
      <c r="B1108" s="483"/>
      <c r="C1108" s="483"/>
      <c r="D1108" s="483"/>
      <c r="E1108" s="483"/>
      <c r="F1108" s="483"/>
      <c r="G1108" s="483"/>
      <c r="H1108" s="483"/>
      <c r="I1108" s="483"/>
      <c r="J1108" s="483"/>
    </row>
    <row r="1109" customFormat="false" ht="14.25" hidden="false" customHeight="false" outlineLevel="0" collapsed="false">
      <c r="A1109" s="483"/>
      <c r="B1109" s="483"/>
      <c r="C1109" s="483"/>
      <c r="D1109" s="483"/>
      <c r="E1109" s="483"/>
      <c r="F1109" s="483"/>
      <c r="G1109" s="483"/>
      <c r="H1109" s="483"/>
      <c r="I1109" s="483"/>
      <c r="J1109" s="483"/>
    </row>
    <row r="1110" customFormat="false" ht="14.25" hidden="false" customHeight="false" outlineLevel="0" collapsed="false">
      <c r="A1110" s="483"/>
      <c r="B1110" s="483"/>
      <c r="C1110" s="483"/>
      <c r="D1110" s="483"/>
      <c r="E1110" s="483"/>
      <c r="F1110" s="483"/>
      <c r="G1110" s="483"/>
      <c r="H1110" s="483"/>
      <c r="I1110" s="483"/>
      <c r="J1110" s="483"/>
    </row>
    <row r="1111" customFormat="false" ht="14.25" hidden="false" customHeight="false" outlineLevel="0" collapsed="false">
      <c r="A1111" s="483"/>
      <c r="B1111" s="483"/>
      <c r="C1111" s="483"/>
      <c r="D1111" s="483"/>
      <c r="E1111" s="483"/>
      <c r="F1111" s="483"/>
      <c r="G1111" s="483"/>
      <c r="H1111" s="483"/>
      <c r="I1111" s="483"/>
      <c r="J1111" s="483"/>
    </row>
    <row r="1112" customFormat="false" ht="14.25" hidden="false" customHeight="false" outlineLevel="0" collapsed="false">
      <c r="A1112" s="483"/>
      <c r="B1112" s="483"/>
      <c r="C1112" s="483"/>
      <c r="D1112" s="483"/>
      <c r="E1112" s="483"/>
      <c r="F1112" s="483"/>
      <c r="G1112" s="483"/>
      <c r="H1112" s="483"/>
      <c r="I1112" s="483"/>
      <c r="J1112" s="483"/>
    </row>
    <row r="1113" customFormat="false" ht="14.25" hidden="false" customHeight="false" outlineLevel="0" collapsed="false">
      <c r="A1113" s="483"/>
      <c r="B1113" s="483"/>
      <c r="C1113" s="483"/>
      <c r="D1113" s="483"/>
      <c r="E1113" s="483"/>
      <c r="F1113" s="483"/>
      <c r="G1113" s="483"/>
      <c r="H1113" s="483"/>
      <c r="I1113" s="483"/>
      <c r="J1113" s="483"/>
    </row>
    <row r="1114" customFormat="false" ht="14.25" hidden="false" customHeight="false" outlineLevel="0" collapsed="false">
      <c r="A1114" s="483"/>
      <c r="B1114" s="483"/>
      <c r="C1114" s="483"/>
      <c r="D1114" s="483"/>
      <c r="E1114" s="483"/>
      <c r="F1114" s="483"/>
      <c r="G1114" s="483"/>
      <c r="H1114" s="483"/>
      <c r="I1114" s="483"/>
      <c r="J1114" s="483"/>
    </row>
    <row r="1115" customFormat="false" ht="14.25" hidden="false" customHeight="false" outlineLevel="0" collapsed="false">
      <c r="A1115" s="483"/>
      <c r="B1115" s="483"/>
      <c r="C1115" s="483"/>
      <c r="D1115" s="483"/>
      <c r="E1115" s="483"/>
      <c r="F1115" s="483"/>
      <c r="G1115" s="483"/>
      <c r="H1115" s="483"/>
      <c r="I1115" s="483"/>
      <c r="J1115" s="483"/>
    </row>
    <row r="1116" customFormat="false" ht="14.25" hidden="false" customHeight="false" outlineLevel="0" collapsed="false">
      <c r="A1116" s="483"/>
      <c r="B1116" s="483"/>
      <c r="C1116" s="483"/>
      <c r="D1116" s="483"/>
      <c r="E1116" s="483"/>
      <c r="F1116" s="483"/>
      <c r="G1116" s="483"/>
      <c r="H1116" s="483"/>
      <c r="I1116" s="483"/>
      <c r="J1116" s="483"/>
    </row>
    <row r="1117" customFormat="false" ht="14.25" hidden="false" customHeight="false" outlineLevel="0" collapsed="false">
      <c r="A1117" s="483"/>
      <c r="B1117" s="483"/>
      <c r="C1117" s="483"/>
      <c r="D1117" s="483"/>
      <c r="E1117" s="483"/>
      <c r="F1117" s="483"/>
      <c r="G1117" s="483"/>
      <c r="H1117" s="483"/>
      <c r="I1117" s="483"/>
      <c r="J1117" s="483"/>
    </row>
    <row r="1118" customFormat="false" ht="14.25" hidden="false" customHeight="false" outlineLevel="0" collapsed="false">
      <c r="A1118" s="483"/>
      <c r="B1118" s="483"/>
      <c r="C1118" s="483"/>
      <c r="D1118" s="483"/>
      <c r="E1118" s="483"/>
      <c r="F1118" s="483"/>
      <c r="G1118" s="483"/>
      <c r="H1118" s="483"/>
      <c r="I1118" s="483"/>
      <c r="J1118" s="483"/>
    </row>
    <row r="1119" customFormat="false" ht="14.25" hidden="false" customHeight="false" outlineLevel="0" collapsed="false">
      <c r="A1119" s="483"/>
      <c r="B1119" s="483"/>
      <c r="C1119" s="483"/>
      <c r="D1119" s="483"/>
      <c r="E1119" s="483"/>
      <c r="F1119" s="483"/>
      <c r="G1119" s="483"/>
      <c r="H1119" s="483"/>
      <c r="I1119" s="483"/>
      <c r="J1119" s="483"/>
    </row>
    <row r="1120" customFormat="false" ht="14.25" hidden="false" customHeight="false" outlineLevel="0" collapsed="false">
      <c r="A1120" s="483"/>
      <c r="B1120" s="483"/>
      <c r="C1120" s="483"/>
      <c r="D1120" s="483"/>
      <c r="E1120" s="483"/>
      <c r="F1120" s="483"/>
      <c r="G1120" s="483"/>
      <c r="H1120" s="483"/>
      <c r="I1120" s="483"/>
      <c r="J1120" s="483"/>
    </row>
    <row r="1121" customFormat="false" ht="14.25" hidden="false" customHeight="false" outlineLevel="0" collapsed="false">
      <c r="A1121" s="483"/>
      <c r="B1121" s="483"/>
      <c r="C1121" s="483"/>
      <c r="D1121" s="483"/>
      <c r="E1121" s="483"/>
      <c r="F1121" s="483"/>
      <c r="G1121" s="483"/>
      <c r="H1121" s="483"/>
      <c r="I1121" s="483"/>
      <c r="J1121" s="483"/>
    </row>
    <row r="1122" customFormat="false" ht="14.25" hidden="false" customHeight="false" outlineLevel="0" collapsed="false">
      <c r="A1122" s="483"/>
      <c r="B1122" s="483"/>
      <c r="C1122" s="483"/>
      <c r="D1122" s="483"/>
      <c r="E1122" s="483"/>
      <c r="F1122" s="483"/>
      <c r="G1122" s="483"/>
      <c r="H1122" s="483"/>
      <c r="I1122" s="483"/>
      <c r="J1122" s="483"/>
    </row>
    <row r="1123" customFormat="false" ht="14.25" hidden="false" customHeight="false" outlineLevel="0" collapsed="false">
      <c r="A1123" s="483"/>
      <c r="B1123" s="483"/>
      <c r="C1123" s="483"/>
      <c r="D1123" s="483"/>
      <c r="E1123" s="483"/>
      <c r="F1123" s="483"/>
      <c r="G1123" s="483"/>
      <c r="H1123" s="483"/>
      <c r="I1123" s="483"/>
      <c r="J1123" s="483"/>
    </row>
    <row r="1124" customFormat="false" ht="14.25" hidden="false" customHeight="false" outlineLevel="0" collapsed="false">
      <c r="A1124" s="483"/>
      <c r="B1124" s="483"/>
      <c r="C1124" s="483"/>
      <c r="D1124" s="483"/>
      <c r="E1124" s="483"/>
      <c r="F1124" s="483"/>
      <c r="G1124" s="483"/>
      <c r="H1124" s="483"/>
      <c r="I1124" s="483"/>
      <c r="J1124" s="483"/>
    </row>
    <row r="1125" customFormat="false" ht="14.25" hidden="false" customHeight="false" outlineLevel="0" collapsed="false">
      <c r="A1125" s="483"/>
      <c r="B1125" s="483"/>
      <c r="C1125" s="483"/>
      <c r="D1125" s="483"/>
      <c r="E1125" s="483"/>
      <c r="F1125" s="483"/>
      <c r="G1125" s="483"/>
      <c r="H1125" s="483"/>
      <c r="I1125" s="483"/>
      <c r="J1125" s="483"/>
    </row>
    <row r="1126" customFormat="false" ht="14.25" hidden="false" customHeight="false" outlineLevel="0" collapsed="false">
      <c r="A1126" s="483"/>
      <c r="B1126" s="483"/>
      <c r="C1126" s="483"/>
      <c r="D1126" s="483"/>
      <c r="E1126" s="483"/>
      <c r="F1126" s="483"/>
      <c r="G1126" s="483"/>
      <c r="H1126" s="483"/>
      <c r="I1126" s="483"/>
      <c r="J1126" s="483"/>
    </row>
    <row r="1127" customFormat="false" ht="14.25" hidden="false" customHeight="false" outlineLevel="0" collapsed="false">
      <c r="A1127" s="483"/>
      <c r="B1127" s="483"/>
      <c r="C1127" s="483"/>
      <c r="D1127" s="483"/>
      <c r="E1127" s="483"/>
      <c r="F1127" s="483"/>
      <c r="G1127" s="483"/>
      <c r="H1127" s="483"/>
      <c r="I1127" s="483"/>
      <c r="J1127" s="483"/>
    </row>
    <row r="1128" customFormat="false" ht="14.25" hidden="false" customHeight="false" outlineLevel="0" collapsed="false">
      <c r="A1128" s="483"/>
      <c r="B1128" s="483"/>
      <c r="C1128" s="483"/>
      <c r="D1128" s="483"/>
      <c r="E1128" s="483"/>
      <c r="F1128" s="483"/>
      <c r="G1128" s="483"/>
      <c r="H1128" s="483"/>
      <c r="I1128" s="483"/>
      <c r="J1128" s="483"/>
    </row>
    <row r="1129" customFormat="false" ht="14.25" hidden="false" customHeight="false" outlineLevel="0" collapsed="false">
      <c r="A1129" s="483"/>
      <c r="B1129" s="483"/>
      <c r="C1129" s="483"/>
      <c r="D1129" s="483"/>
      <c r="E1129" s="483"/>
      <c r="F1129" s="483"/>
      <c r="G1129" s="483"/>
      <c r="H1129" s="483"/>
      <c r="I1129" s="483"/>
      <c r="J1129" s="483"/>
    </row>
    <row r="1130" customFormat="false" ht="14.25" hidden="false" customHeight="false" outlineLevel="0" collapsed="false">
      <c r="A1130" s="483"/>
      <c r="B1130" s="483"/>
      <c r="C1130" s="483"/>
      <c r="D1130" s="483"/>
      <c r="E1130" s="483"/>
      <c r="F1130" s="483"/>
      <c r="G1130" s="483"/>
      <c r="H1130" s="483"/>
      <c r="I1130" s="483"/>
      <c r="J1130" s="483"/>
    </row>
    <row r="1131" customFormat="false" ht="14.25" hidden="false" customHeight="false" outlineLevel="0" collapsed="false">
      <c r="A1131" s="483"/>
      <c r="B1131" s="483"/>
      <c r="C1131" s="483"/>
      <c r="D1131" s="483"/>
      <c r="E1131" s="483"/>
      <c r="F1131" s="483"/>
      <c r="G1131" s="483"/>
      <c r="H1131" s="483"/>
      <c r="I1131" s="483"/>
      <c r="J1131" s="483"/>
    </row>
    <row r="1132" customFormat="false" ht="14.25" hidden="false" customHeight="false" outlineLevel="0" collapsed="false">
      <c r="A1132" s="483"/>
      <c r="B1132" s="483"/>
      <c r="C1132" s="483"/>
      <c r="D1132" s="483"/>
      <c r="E1132" s="483"/>
      <c r="F1132" s="483"/>
      <c r="G1132" s="483"/>
      <c r="H1132" s="483"/>
      <c r="I1132" s="483"/>
      <c r="J1132" s="483"/>
    </row>
    <row r="1133" customFormat="false" ht="14.25" hidden="false" customHeight="false" outlineLevel="0" collapsed="false">
      <c r="A1133" s="483"/>
      <c r="B1133" s="483"/>
      <c r="C1133" s="483"/>
      <c r="D1133" s="483"/>
      <c r="E1133" s="483"/>
      <c r="F1133" s="483"/>
      <c r="G1133" s="483"/>
      <c r="H1133" s="483"/>
      <c r="I1133" s="483"/>
      <c r="J1133" s="483"/>
    </row>
    <row r="1134" customFormat="false" ht="14.25" hidden="false" customHeight="false" outlineLevel="0" collapsed="false">
      <c r="A1134" s="483"/>
      <c r="B1134" s="483"/>
      <c r="C1134" s="483"/>
      <c r="D1134" s="483"/>
      <c r="E1134" s="483"/>
      <c r="F1134" s="483"/>
      <c r="G1134" s="483"/>
      <c r="H1134" s="483"/>
      <c r="I1134" s="483"/>
      <c r="J1134" s="483"/>
    </row>
    <row r="1135" customFormat="false" ht="14.25" hidden="false" customHeight="false" outlineLevel="0" collapsed="false">
      <c r="A1135" s="483"/>
      <c r="B1135" s="483"/>
      <c r="C1135" s="483"/>
      <c r="D1135" s="483"/>
      <c r="E1135" s="483"/>
      <c r="F1135" s="483"/>
      <c r="G1135" s="483"/>
      <c r="H1135" s="483"/>
      <c r="I1135" s="483"/>
      <c r="J1135" s="483"/>
    </row>
    <row r="1136" customFormat="false" ht="14.25" hidden="false" customHeight="false" outlineLevel="0" collapsed="false">
      <c r="A1136" s="483"/>
      <c r="B1136" s="483"/>
      <c r="C1136" s="483"/>
      <c r="D1136" s="483"/>
      <c r="E1136" s="483"/>
      <c r="F1136" s="483"/>
      <c r="G1136" s="483"/>
      <c r="H1136" s="483"/>
      <c r="I1136" s="483"/>
      <c r="J1136" s="483"/>
    </row>
    <row r="1137" customFormat="false" ht="14.25" hidden="false" customHeight="false" outlineLevel="0" collapsed="false">
      <c r="A1137" s="483"/>
      <c r="B1137" s="483"/>
      <c r="C1137" s="483"/>
      <c r="D1137" s="483"/>
      <c r="E1137" s="483"/>
      <c r="F1137" s="483"/>
      <c r="G1137" s="483"/>
      <c r="H1137" s="483"/>
      <c r="I1137" s="483"/>
      <c r="J1137" s="483"/>
    </row>
    <row r="1138" customFormat="false" ht="14.25" hidden="false" customHeight="false" outlineLevel="0" collapsed="false">
      <c r="A1138" s="483"/>
      <c r="B1138" s="483"/>
      <c r="C1138" s="483"/>
      <c r="D1138" s="483"/>
      <c r="E1138" s="483"/>
      <c r="F1138" s="483"/>
      <c r="G1138" s="483"/>
      <c r="H1138" s="483"/>
      <c r="I1138" s="483"/>
      <c r="J1138" s="483"/>
    </row>
    <row r="1139" customFormat="false" ht="14.25" hidden="false" customHeight="false" outlineLevel="0" collapsed="false">
      <c r="A1139" s="483"/>
      <c r="B1139" s="483"/>
      <c r="C1139" s="483"/>
      <c r="D1139" s="483"/>
      <c r="E1139" s="483"/>
      <c r="F1139" s="483"/>
      <c r="G1139" s="483"/>
      <c r="H1139" s="483"/>
      <c r="I1139" s="483"/>
      <c r="J1139" s="483"/>
    </row>
    <row r="1140" customFormat="false" ht="14.25" hidden="false" customHeight="false" outlineLevel="0" collapsed="false">
      <c r="A1140" s="483"/>
      <c r="B1140" s="483"/>
      <c r="C1140" s="483"/>
      <c r="D1140" s="483"/>
      <c r="E1140" s="483"/>
      <c r="F1140" s="483"/>
      <c r="G1140" s="483"/>
      <c r="H1140" s="483"/>
      <c r="I1140" s="483"/>
      <c r="J1140" s="483"/>
    </row>
    <row r="1141" customFormat="false" ht="14.25" hidden="false" customHeight="false" outlineLevel="0" collapsed="false">
      <c r="A1141" s="483"/>
      <c r="B1141" s="483"/>
      <c r="C1141" s="483"/>
      <c r="D1141" s="483"/>
      <c r="E1141" s="483"/>
      <c r="F1141" s="483"/>
      <c r="G1141" s="483"/>
      <c r="H1141" s="483"/>
      <c r="I1141" s="483"/>
      <c r="J1141" s="483"/>
    </row>
    <row r="1142" customFormat="false" ht="14.25" hidden="false" customHeight="false" outlineLevel="0" collapsed="false">
      <c r="A1142" s="483"/>
      <c r="B1142" s="483"/>
      <c r="C1142" s="483"/>
      <c r="D1142" s="483"/>
      <c r="E1142" s="483"/>
      <c r="F1142" s="483"/>
      <c r="G1142" s="483"/>
      <c r="H1142" s="483"/>
      <c r="I1142" s="483"/>
      <c r="J1142" s="483"/>
    </row>
    <row r="1143" customFormat="false" ht="14.25" hidden="false" customHeight="false" outlineLevel="0" collapsed="false">
      <c r="A1143" s="483"/>
      <c r="B1143" s="483"/>
      <c r="C1143" s="483"/>
      <c r="D1143" s="483"/>
      <c r="E1143" s="483"/>
      <c r="F1143" s="483"/>
      <c r="G1143" s="483"/>
      <c r="H1143" s="483"/>
      <c r="I1143" s="483"/>
      <c r="J1143" s="483"/>
    </row>
    <row r="1144" customFormat="false" ht="14.25" hidden="false" customHeight="false" outlineLevel="0" collapsed="false">
      <c r="A1144" s="483"/>
      <c r="B1144" s="483"/>
      <c r="C1144" s="483"/>
      <c r="D1144" s="483"/>
      <c r="E1144" s="483"/>
      <c r="F1144" s="483"/>
      <c r="G1144" s="483"/>
      <c r="H1144" s="483"/>
      <c r="I1144" s="483"/>
      <c r="J1144" s="483"/>
    </row>
    <row r="1145" customFormat="false" ht="14.25" hidden="false" customHeight="false" outlineLevel="0" collapsed="false">
      <c r="A1145" s="483"/>
      <c r="B1145" s="483"/>
      <c r="C1145" s="483"/>
      <c r="D1145" s="483"/>
      <c r="E1145" s="483"/>
      <c r="F1145" s="483"/>
      <c r="G1145" s="483"/>
      <c r="H1145" s="483"/>
      <c r="I1145" s="483"/>
      <c r="J1145" s="483"/>
    </row>
    <row r="1146" customFormat="false" ht="14.25" hidden="false" customHeight="false" outlineLevel="0" collapsed="false">
      <c r="A1146" s="483"/>
      <c r="B1146" s="483"/>
      <c r="C1146" s="483"/>
      <c r="D1146" s="483"/>
      <c r="E1146" s="483"/>
      <c r="F1146" s="483"/>
      <c r="G1146" s="483"/>
      <c r="H1146" s="483"/>
      <c r="I1146" s="483"/>
      <c r="J1146" s="483"/>
    </row>
    <row r="1147" customFormat="false" ht="14.25" hidden="false" customHeight="false" outlineLevel="0" collapsed="false">
      <c r="A1147" s="483"/>
      <c r="B1147" s="483"/>
      <c r="C1147" s="483"/>
      <c r="D1147" s="483"/>
      <c r="E1147" s="483"/>
      <c r="F1147" s="483"/>
      <c r="G1147" s="483"/>
      <c r="H1147" s="483"/>
      <c r="I1147" s="483"/>
      <c r="J1147" s="483"/>
    </row>
    <row r="1148" customFormat="false" ht="14.25" hidden="false" customHeight="false" outlineLevel="0" collapsed="false">
      <c r="A1148" s="483"/>
      <c r="B1148" s="483"/>
      <c r="C1148" s="483"/>
      <c r="D1148" s="483"/>
      <c r="E1148" s="483"/>
      <c r="F1148" s="483"/>
      <c r="G1148" s="483"/>
      <c r="H1148" s="483"/>
      <c r="I1148" s="483"/>
      <c r="J1148" s="483"/>
    </row>
    <row r="1149" customFormat="false" ht="14.25" hidden="false" customHeight="false" outlineLevel="0" collapsed="false">
      <c r="A1149" s="483"/>
      <c r="B1149" s="483"/>
      <c r="C1149" s="483"/>
      <c r="D1149" s="483"/>
      <c r="E1149" s="483"/>
      <c r="F1149" s="483"/>
      <c r="G1149" s="483"/>
      <c r="H1149" s="483"/>
      <c r="I1149" s="483"/>
      <c r="J1149" s="483"/>
    </row>
    <row r="1150" customFormat="false" ht="14.25" hidden="false" customHeight="false" outlineLevel="0" collapsed="false">
      <c r="A1150" s="483"/>
      <c r="B1150" s="483"/>
      <c r="C1150" s="483"/>
      <c r="D1150" s="483"/>
      <c r="E1150" s="483"/>
      <c r="F1150" s="483"/>
      <c r="G1150" s="483"/>
      <c r="H1150" s="483"/>
      <c r="I1150" s="483"/>
      <c r="J1150" s="483"/>
    </row>
    <row r="1151" customFormat="false" ht="14.25" hidden="false" customHeight="false" outlineLevel="0" collapsed="false">
      <c r="A1151" s="483"/>
      <c r="B1151" s="483"/>
      <c r="C1151" s="483"/>
      <c r="D1151" s="483"/>
      <c r="E1151" s="483"/>
      <c r="F1151" s="483"/>
      <c r="G1151" s="483"/>
      <c r="H1151" s="483"/>
      <c r="I1151" s="483"/>
      <c r="J1151" s="483"/>
    </row>
    <row r="1152" customFormat="false" ht="14.25" hidden="false" customHeight="false" outlineLevel="0" collapsed="false">
      <c r="A1152" s="483"/>
      <c r="B1152" s="483"/>
      <c r="C1152" s="483"/>
      <c r="D1152" s="483"/>
      <c r="E1152" s="483"/>
      <c r="F1152" s="483"/>
      <c r="G1152" s="483"/>
      <c r="H1152" s="483"/>
      <c r="I1152" s="483"/>
      <c r="J1152" s="483"/>
    </row>
    <row r="1153" customFormat="false" ht="14.25" hidden="false" customHeight="false" outlineLevel="0" collapsed="false">
      <c r="A1153" s="483"/>
      <c r="B1153" s="483"/>
      <c r="C1153" s="483"/>
      <c r="D1153" s="483"/>
      <c r="E1153" s="483"/>
      <c r="F1153" s="483"/>
      <c r="G1153" s="483"/>
      <c r="H1153" s="483"/>
      <c r="I1153" s="483"/>
      <c r="J1153" s="483"/>
    </row>
    <row r="1154" customFormat="false" ht="14.25" hidden="false" customHeight="false" outlineLevel="0" collapsed="false">
      <c r="A1154" s="483"/>
      <c r="B1154" s="483"/>
      <c r="C1154" s="483"/>
      <c r="D1154" s="483"/>
      <c r="E1154" s="483"/>
      <c r="F1154" s="483"/>
      <c r="G1154" s="483"/>
      <c r="H1154" s="483"/>
      <c r="I1154" s="483"/>
      <c r="J1154" s="483"/>
    </row>
    <row r="1155" customFormat="false" ht="14.25" hidden="false" customHeight="false" outlineLevel="0" collapsed="false">
      <c r="A1155" s="483"/>
      <c r="B1155" s="483"/>
      <c r="C1155" s="483"/>
      <c r="D1155" s="483"/>
      <c r="E1155" s="483"/>
      <c r="F1155" s="483"/>
      <c r="G1155" s="483"/>
      <c r="H1155" s="483"/>
      <c r="I1155" s="483"/>
      <c r="J1155" s="483"/>
    </row>
    <row r="1156" customFormat="false" ht="14.25" hidden="false" customHeight="false" outlineLevel="0" collapsed="false">
      <c r="A1156" s="483"/>
      <c r="B1156" s="483"/>
      <c r="C1156" s="483"/>
      <c r="D1156" s="483"/>
      <c r="E1156" s="483"/>
      <c r="F1156" s="483"/>
      <c r="G1156" s="483"/>
      <c r="H1156" s="483"/>
      <c r="I1156" s="483"/>
      <c r="J1156" s="483"/>
    </row>
    <row r="1157" customFormat="false" ht="14.25" hidden="false" customHeight="false" outlineLevel="0" collapsed="false">
      <c r="A1157" s="483"/>
      <c r="B1157" s="483"/>
      <c r="C1157" s="483"/>
      <c r="D1157" s="483"/>
      <c r="E1157" s="483"/>
      <c r="F1157" s="483"/>
      <c r="G1157" s="483"/>
      <c r="H1157" s="483"/>
      <c r="I1157" s="483"/>
      <c r="J1157" s="483"/>
    </row>
    <row r="1158" customFormat="false" ht="14.25" hidden="false" customHeight="false" outlineLevel="0" collapsed="false">
      <c r="A1158" s="483"/>
      <c r="B1158" s="483"/>
      <c r="C1158" s="483"/>
      <c r="D1158" s="483"/>
      <c r="E1158" s="483"/>
      <c r="F1158" s="483"/>
      <c r="G1158" s="483"/>
      <c r="H1158" s="483"/>
      <c r="I1158" s="483"/>
      <c r="J1158" s="483"/>
    </row>
    <row r="1159" customFormat="false" ht="14.25" hidden="false" customHeight="false" outlineLevel="0" collapsed="false">
      <c r="A1159" s="483"/>
      <c r="B1159" s="483"/>
      <c r="C1159" s="483"/>
      <c r="D1159" s="483"/>
      <c r="E1159" s="483"/>
      <c r="F1159" s="483"/>
      <c r="G1159" s="483"/>
      <c r="H1159" s="483"/>
      <c r="I1159" s="483"/>
      <c r="J1159" s="483"/>
    </row>
    <row r="1160" customFormat="false" ht="14.25" hidden="false" customHeight="false" outlineLevel="0" collapsed="false">
      <c r="A1160" s="483"/>
      <c r="B1160" s="483"/>
      <c r="C1160" s="483"/>
      <c r="D1160" s="483"/>
      <c r="E1160" s="483"/>
      <c r="F1160" s="483"/>
      <c r="G1160" s="483"/>
      <c r="H1160" s="483"/>
      <c r="I1160" s="483"/>
      <c r="J1160" s="483"/>
    </row>
    <row r="1161" customFormat="false" ht="14.25" hidden="false" customHeight="false" outlineLevel="0" collapsed="false">
      <c r="A1161" s="483"/>
      <c r="B1161" s="483"/>
      <c r="C1161" s="483"/>
      <c r="D1161" s="483"/>
      <c r="E1161" s="483"/>
      <c r="F1161" s="483"/>
      <c r="G1161" s="483"/>
      <c r="H1161" s="483"/>
      <c r="I1161" s="483"/>
      <c r="J1161" s="483"/>
    </row>
    <row r="1162" customFormat="false" ht="14.25" hidden="false" customHeight="false" outlineLevel="0" collapsed="false">
      <c r="A1162" s="483"/>
      <c r="B1162" s="483"/>
      <c r="C1162" s="483"/>
      <c r="D1162" s="483"/>
      <c r="E1162" s="483"/>
      <c r="F1162" s="483"/>
      <c r="G1162" s="483"/>
      <c r="H1162" s="483"/>
      <c r="I1162" s="483"/>
      <c r="J1162" s="483"/>
    </row>
    <row r="1163" customFormat="false" ht="14.25" hidden="false" customHeight="false" outlineLevel="0" collapsed="false">
      <c r="A1163" s="483"/>
      <c r="B1163" s="483"/>
      <c r="C1163" s="483"/>
      <c r="D1163" s="483"/>
      <c r="E1163" s="483"/>
      <c r="F1163" s="483"/>
      <c r="G1163" s="483"/>
      <c r="H1163" s="483"/>
      <c r="I1163" s="483"/>
      <c r="J1163" s="483"/>
    </row>
    <row r="1164" customFormat="false" ht="14.25" hidden="false" customHeight="false" outlineLevel="0" collapsed="false">
      <c r="A1164" s="483"/>
      <c r="B1164" s="483"/>
      <c r="C1164" s="483"/>
      <c r="D1164" s="483"/>
      <c r="E1164" s="483"/>
      <c r="F1164" s="483"/>
      <c r="G1164" s="483"/>
      <c r="H1164" s="483"/>
      <c r="I1164" s="483"/>
      <c r="J1164" s="483"/>
    </row>
    <row r="1165" customFormat="false" ht="14.25" hidden="false" customHeight="false" outlineLevel="0" collapsed="false">
      <c r="A1165" s="483"/>
      <c r="B1165" s="483"/>
      <c r="C1165" s="483"/>
      <c r="D1165" s="483"/>
      <c r="E1165" s="483"/>
      <c r="F1165" s="483"/>
      <c r="G1165" s="483"/>
      <c r="H1165" s="483"/>
      <c r="I1165" s="483"/>
      <c r="J1165" s="483"/>
    </row>
    <row r="1166" customFormat="false" ht="14.25" hidden="false" customHeight="false" outlineLevel="0" collapsed="false">
      <c r="A1166" s="483"/>
      <c r="B1166" s="483"/>
      <c r="C1166" s="483"/>
      <c r="D1166" s="483"/>
      <c r="E1166" s="483"/>
      <c r="F1166" s="483"/>
      <c r="G1166" s="483"/>
      <c r="H1166" s="483"/>
      <c r="I1166" s="483"/>
      <c r="J1166" s="483"/>
    </row>
    <row r="1167" customFormat="false" ht="14.25" hidden="false" customHeight="false" outlineLevel="0" collapsed="false">
      <c r="A1167" s="483"/>
      <c r="B1167" s="483"/>
      <c r="C1167" s="483"/>
      <c r="D1167" s="483"/>
      <c r="E1167" s="483"/>
      <c r="F1167" s="483"/>
      <c r="G1167" s="483"/>
      <c r="H1167" s="483"/>
      <c r="I1167" s="483"/>
      <c r="J1167" s="483"/>
    </row>
    <row r="1168" customFormat="false" ht="14.25" hidden="false" customHeight="false" outlineLevel="0" collapsed="false">
      <c r="A1168" s="483"/>
      <c r="B1168" s="483"/>
      <c r="C1168" s="483"/>
      <c r="D1168" s="483"/>
      <c r="E1168" s="483"/>
      <c r="F1168" s="483"/>
      <c r="G1168" s="483"/>
      <c r="H1168" s="483"/>
      <c r="I1168" s="483"/>
      <c r="J1168" s="483"/>
    </row>
    <row r="1169" customFormat="false" ht="14.25" hidden="false" customHeight="false" outlineLevel="0" collapsed="false">
      <c r="A1169" s="483"/>
      <c r="B1169" s="483"/>
      <c r="C1169" s="483"/>
      <c r="D1169" s="483"/>
      <c r="E1169" s="483"/>
      <c r="F1169" s="483"/>
      <c r="G1169" s="483"/>
      <c r="H1169" s="483"/>
      <c r="I1169" s="483"/>
      <c r="J1169" s="483"/>
    </row>
    <row r="1170" customFormat="false" ht="14.25" hidden="false" customHeight="false" outlineLevel="0" collapsed="false">
      <c r="A1170" s="483"/>
      <c r="B1170" s="483"/>
      <c r="C1170" s="483"/>
      <c r="D1170" s="483"/>
      <c r="E1170" s="483"/>
      <c r="F1170" s="483"/>
      <c r="G1170" s="483"/>
      <c r="H1170" s="483"/>
      <c r="I1170" s="483"/>
      <c r="J1170" s="483"/>
    </row>
    <row r="1171" customFormat="false" ht="14.25" hidden="false" customHeight="false" outlineLevel="0" collapsed="false">
      <c r="A1171" s="483"/>
      <c r="B1171" s="483"/>
      <c r="C1171" s="483"/>
      <c r="D1171" s="483"/>
      <c r="E1171" s="483"/>
      <c r="F1171" s="483"/>
      <c r="G1171" s="483"/>
      <c r="H1171" s="483"/>
      <c r="I1171" s="483"/>
      <c r="J1171" s="483"/>
    </row>
    <row r="1172" customFormat="false" ht="14.25" hidden="false" customHeight="false" outlineLevel="0" collapsed="false">
      <c r="A1172" s="483"/>
      <c r="B1172" s="483"/>
      <c r="C1172" s="483"/>
      <c r="D1172" s="483"/>
      <c r="E1172" s="483"/>
      <c r="F1172" s="483"/>
      <c r="G1172" s="483"/>
      <c r="H1172" s="483"/>
      <c r="I1172" s="483"/>
      <c r="J1172" s="483"/>
    </row>
    <row r="1173" customFormat="false" ht="14.25" hidden="false" customHeight="false" outlineLevel="0" collapsed="false">
      <c r="A1173" s="483"/>
      <c r="B1173" s="483"/>
      <c r="C1173" s="483"/>
      <c r="D1173" s="483"/>
      <c r="E1173" s="483"/>
      <c r="F1173" s="483"/>
      <c r="G1173" s="483"/>
      <c r="H1173" s="483"/>
      <c r="I1173" s="483"/>
      <c r="J1173" s="483"/>
    </row>
    <row r="1174" customFormat="false" ht="14.25" hidden="false" customHeight="false" outlineLevel="0" collapsed="false">
      <c r="A1174" s="483"/>
      <c r="B1174" s="483"/>
      <c r="C1174" s="483"/>
      <c r="D1174" s="483"/>
      <c r="E1174" s="483"/>
      <c r="F1174" s="483"/>
      <c r="G1174" s="483"/>
      <c r="H1174" s="483"/>
      <c r="I1174" s="483"/>
      <c r="J1174" s="483"/>
    </row>
    <row r="1175" customFormat="false" ht="14.25" hidden="false" customHeight="false" outlineLevel="0" collapsed="false">
      <c r="A1175" s="483"/>
      <c r="B1175" s="483"/>
      <c r="C1175" s="483"/>
      <c r="D1175" s="483"/>
      <c r="E1175" s="483"/>
      <c r="F1175" s="483"/>
      <c r="G1175" s="483"/>
      <c r="H1175" s="483"/>
      <c r="I1175" s="483"/>
      <c r="J1175" s="483"/>
    </row>
    <row r="1176" customFormat="false" ht="14.25" hidden="false" customHeight="false" outlineLevel="0" collapsed="false">
      <c r="A1176" s="483"/>
      <c r="B1176" s="483"/>
      <c r="C1176" s="483"/>
      <c r="D1176" s="483"/>
      <c r="E1176" s="483"/>
      <c r="F1176" s="483"/>
      <c r="G1176" s="483"/>
      <c r="H1176" s="483"/>
      <c r="I1176" s="483"/>
      <c r="J1176" s="483"/>
    </row>
    <row r="1177" customFormat="false" ht="14.25" hidden="false" customHeight="false" outlineLevel="0" collapsed="false">
      <c r="A1177" s="483"/>
      <c r="B1177" s="483"/>
      <c r="C1177" s="483"/>
      <c r="D1177" s="483"/>
      <c r="E1177" s="483"/>
      <c r="F1177" s="483"/>
      <c r="G1177" s="483"/>
      <c r="H1177" s="483"/>
      <c r="I1177" s="483"/>
      <c r="J1177" s="483"/>
    </row>
    <row r="1178" customFormat="false" ht="14.25" hidden="false" customHeight="false" outlineLevel="0" collapsed="false">
      <c r="A1178" s="483"/>
      <c r="B1178" s="483"/>
      <c r="C1178" s="483"/>
      <c r="D1178" s="483"/>
      <c r="E1178" s="483"/>
      <c r="F1178" s="483"/>
      <c r="G1178" s="483"/>
      <c r="H1178" s="483"/>
      <c r="I1178" s="483"/>
      <c r="J1178" s="483"/>
    </row>
    <row r="1179" customFormat="false" ht="14.25" hidden="false" customHeight="false" outlineLevel="0" collapsed="false">
      <c r="A1179" s="483"/>
      <c r="B1179" s="483"/>
      <c r="C1179" s="483"/>
      <c r="D1179" s="483"/>
      <c r="E1179" s="483"/>
      <c r="F1179" s="483"/>
      <c r="G1179" s="483"/>
      <c r="H1179" s="483"/>
      <c r="I1179" s="483"/>
      <c r="J1179" s="483"/>
    </row>
    <row r="1180" customFormat="false" ht="14.25" hidden="false" customHeight="false" outlineLevel="0" collapsed="false">
      <c r="A1180" s="483"/>
      <c r="B1180" s="483"/>
      <c r="C1180" s="483"/>
      <c r="D1180" s="483"/>
      <c r="E1180" s="483"/>
      <c r="F1180" s="483"/>
      <c r="G1180" s="483"/>
      <c r="H1180" s="483"/>
      <c r="I1180" s="483"/>
      <c r="J1180" s="483"/>
    </row>
    <row r="1181" customFormat="false" ht="14.25" hidden="false" customHeight="false" outlineLevel="0" collapsed="false">
      <c r="A1181" s="483"/>
      <c r="B1181" s="483"/>
      <c r="C1181" s="483"/>
      <c r="D1181" s="483"/>
      <c r="E1181" s="483"/>
      <c r="F1181" s="483"/>
      <c r="G1181" s="483"/>
      <c r="H1181" s="483"/>
      <c r="I1181" s="483"/>
      <c r="J1181" s="483"/>
    </row>
    <row r="1182" customFormat="false" ht="14.25" hidden="false" customHeight="false" outlineLevel="0" collapsed="false">
      <c r="A1182" s="483"/>
      <c r="B1182" s="483"/>
      <c r="C1182" s="483"/>
      <c r="D1182" s="483"/>
      <c r="E1182" s="483"/>
      <c r="F1182" s="483"/>
      <c r="G1182" s="483"/>
      <c r="H1182" s="483"/>
      <c r="I1182" s="483"/>
      <c r="J1182" s="483"/>
    </row>
    <row r="1183" customFormat="false" ht="14.25" hidden="false" customHeight="false" outlineLevel="0" collapsed="false">
      <c r="A1183" s="483"/>
      <c r="B1183" s="483"/>
      <c r="C1183" s="483"/>
      <c r="D1183" s="483"/>
      <c r="E1183" s="483"/>
      <c r="F1183" s="483"/>
      <c r="G1183" s="483"/>
      <c r="H1183" s="483"/>
      <c r="I1183" s="483"/>
      <c r="J1183" s="483"/>
    </row>
    <row r="1184" customFormat="false" ht="14.25" hidden="false" customHeight="false" outlineLevel="0" collapsed="false">
      <c r="A1184" s="483"/>
      <c r="B1184" s="483"/>
      <c r="C1184" s="483"/>
      <c r="D1184" s="483"/>
      <c r="E1184" s="483"/>
      <c r="F1184" s="483"/>
      <c r="G1184" s="483"/>
      <c r="H1184" s="483"/>
      <c r="I1184" s="483"/>
      <c r="J1184" s="483"/>
    </row>
    <row r="1185" customFormat="false" ht="14.25" hidden="false" customHeight="false" outlineLevel="0" collapsed="false">
      <c r="A1185" s="483"/>
      <c r="B1185" s="483"/>
      <c r="C1185" s="483"/>
      <c r="D1185" s="483"/>
      <c r="E1185" s="483"/>
      <c r="F1185" s="483"/>
      <c r="G1185" s="483"/>
      <c r="H1185" s="483"/>
      <c r="I1185" s="483"/>
      <c r="J1185" s="483"/>
    </row>
    <row r="1186" customFormat="false" ht="14.25" hidden="false" customHeight="false" outlineLevel="0" collapsed="false">
      <c r="A1186" s="483"/>
      <c r="B1186" s="483"/>
      <c r="C1186" s="483"/>
      <c r="D1186" s="483"/>
      <c r="E1186" s="483"/>
      <c r="F1186" s="483"/>
      <c r="G1186" s="483"/>
      <c r="H1186" s="483"/>
      <c r="I1186" s="483"/>
      <c r="J1186" s="483"/>
    </row>
    <row r="1187" customFormat="false" ht="14.25" hidden="false" customHeight="false" outlineLevel="0" collapsed="false">
      <c r="A1187" s="483"/>
      <c r="B1187" s="483"/>
      <c r="C1187" s="483"/>
      <c r="D1187" s="483"/>
      <c r="E1187" s="483"/>
      <c r="F1187" s="483"/>
      <c r="G1187" s="483"/>
      <c r="H1187" s="483"/>
      <c r="I1187" s="483"/>
      <c r="J1187" s="483"/>
    </row>
    <row r="1188" customFormat="false" ht="14.25" hidden="false" customHeight="false" outlineLevel="0" collapsed="false">
      <c r="A1188" s="483"/>
      <c r="B1188" s="483"/>
      <c r="C1188" s="483"/>
      <c r="D1188" s="483"/>
      <c r="E1188" s="483"/>
      <c r="F1188" s="483"/>
      <c r="G1188" s="483"/>
      <c r="H1188" s="483"/>
      <c r="I1188" s="483"/>
      <c r="J1188" s="483"/>
    </row>
    <row r="1189" customFormat="false" ht="14.25" hidden="false" customHeight="false" outlineLevel="0" collapsed="false">
      <c r="A1189" s="483"/>
      <c r="B1189" s="483"/>
      <c r="C1189" s="483"/>
      <c r="D1189" s="483"/>
      <c r="E1189" s="483"/>
      <c r="F1189" s="483"/>
      <c r="G1189" s="483"/>
      <c r="H1189" s="483"/>
      <c r="I1189" s="483"/>
      <c r="J1189" s="483"/>
    </row>
    <row r="1190" customFormat="false" ht="14.25" hidden="false" customHeight="false" outlineLevel="0" collapsed="false">
      <c r="A1190" s="483"/>
      <c r="B1190" s="483"/>
      <c r="C1190" s="483"/>
      <c r="D1190" s="483"/>
      <c r="E1190" s="483"/>
      <c r="F1190" s="483"/>
      <c r="G1190" s="483"/>
      <c r="H1190" s="483"/>
      <c r="I1190" s="483"/>
      <c r="J1190" s="483"/>
    </row>
    <row r="1191" customFormat="false" ht="14.25" hidden="false" customHeight="false" outlineLevel="0" collapsed="false">
      <c r="A1191" s="483"/>
      <c r="B1191" s="483"/>
      <c r="C1191" s="483"/>
      <c r="D1191" s="483"/>
      <c r="E1191" s="483"/>
      <c r="F1191" s="483"/>
      <c r="G1191" s="483"/>
      <c r="H1191" s="483"/>
      <c r="I1191" s="483"/>
      <c r="J1191" s="483"/>
    </row>
    <row r="1192" customFormat="false" ht="14.25" hidden="false" customHeight="false" outlineLevel="0" collapsed="false">
      <c r="A1192" s="483"/>
      <c r="B1192" s="483"/>
      <c r="C1192" s="483"/>
      <c r="D1192" s="483"/>
      <c r="E1192" s="483"/>
      <c r="F1192" s="483"/>
      <c r="G1192" s="483"/>
      <c r="H1192" s="483"/>
      <c r="I1192" s="483"/>
      <c r="J1192" s="483"/>
    </row>
    <row r="1193" customFormat="false" ht="14.25" hidden="false" customHeight="false" outlineLevel="0" collapsed="false">
      <c r="A1193" s="483"/>
      <c r="B1193" s="483"/>
      <c r="C1193" s="483"/>
      <c r="D1193" s="483"/>
      <c r="E1193" s="483"/>
      <c r="F1193" s="483"/>
      <c r="G1193" s="483"/>
      <c r="H1193" s="483"/>
      <c r="I1193" s="483"/>
      <c r="J1193" s="483"/>
    </row>
    <row r="1194" customFormat="false" ht="14.25" hidden="false" customHeight="false" outlineLevel="0" collapsed="false">
      <c r="A1194" s="483"/>
      <c r="B1194" s="483"/>
      <c r="C1194" s="483"/>
      <c r="D1194" s="483"/>
      <c r="E1194" s="483"/>
      <c r="F1194" s="483"/>
      <c r="G1194" s="483"/>
      <c r="H1194" s="483"/>
      <c r="I1194" s="483"/>
      <c r="J1194" s="483"/>
    </row>
    <row r="1195" customFormat="false" ht="14.25" hidden="false" customHeight="false" outlineLevel="0" collapsed="false">
      <c r="A1195" s="483"/>
      <c r="B1195" s="483"/>
      <c r="C1195" s="483"/>
      <c r="D1195" s="483"/>
      <c r="E1195" s="483"/>
      <c r="F1195" s="483"/>
      <c r="G1195" s="483"/>
      <c r="H1195" s="483"/>
      <c r="I1195" s="483"/>
      <c r="J1195" s="483"/>
    </row>
    <row r="1196" customFormat="false" ht="14.25" hidden="false" customHeight="false" outlineLevel="0" collapsed="false">
      <c r="A1196" s="483"/>
      <c r="B1196" s="483"/>
      <c r="C1196" s="483"/>
      <c r="D1196" s="483"/>
      <c r="E1196" s="483"/>
      <c r="F1196" s="483"/>
      <c r="G1196" s="483"/>
      <c r="H1196" s="483"/>
      <c r="I1196" s="483"/>
      <c r="J1196" s="483"/>
    </row>
    <row r="1197" customFormat="false" ht="14.25" hidden="false" customHeight="false" outlineLevel="0" collapsed="false">
      <c r="A1197" s="483"/>
      <c r="B1197" s="483"/>
      <c r="C1197" s="483"/>
      <c r="D1197" s="483"/>
      <c r="E1197" s="483"/>
      <c r="F1197" s="483"/>
      <c r="G1197" s="483"/>
      <c r="H1197" s="483"/>
      <c r="I1197" s="483"/>
      <c r="J1197" s="483"/>
    </row>
    <row r="1198" customFormat="false" ht="14.25" hidden="false" customHeight="false" outlineLevel="0" collapsed="false">
      <c r="A1198" s="483"/>
      <c r="B1198" s="483"/>
      <c r="C1198" s="483"/>
      <c r="D1198" s="483"/>
      <c r="E1198" s="483"/>
      <c r="F1198" s="483"/>
      <c r="G1198" s="483"/>
      <c r="H1198" s="483"/>
      <c r="I1198" s="483"/>
      <c r="J1198" s="483"/>
    </row>
    <row r="1199" customFormat="false" ht="14.25" hidden="false" customHeight="false" outlineLevel="0" collapsed="false">
      <c r="A1199" s="483"/>
      <c r="B1199" s="483"/>
      <c r="C1199" s="483"/>
      <c r="D1199" s="483"/>
      <c r="E1199" s="483"/>
      <c r="F1199" s="483"/>
      <c r="G1199" s="483"/>
      <c r="H1199" s="483"/>
      <c r="I1199" s="483"/>
      <c r="J1199" s="483"/>
    </row>
    <row r="1200" customFormat="false" ht="14.25" hidden="false" customHeight="false" outlineLevel="0" collapsed="false">
      <c r="A1200" s="483"/>
      <c r="B1200" s="483"/>
      <c r="C1200" s="483"/>
      <c r="D1200" s="483"/>
      <c r="E1200" s="483"/>
      <c r="F1200" s="483"/>
      <c r="G1200" s="483"/>
      <c r="H1200" s="483"/>
      <c r="I1200" s="483"/>
      <c r="J1200" s="483"/>
    </row>
    <row r="1201" customFormat="false" ht="14.25" hidden="false" customHeight="false" outlineLevel="0" collapsed="false">
      <c r="A1201" s="483"/>
      <c r="B1201" s="483"/>
      <c r="C1201" s="483"/>
      <c r="D1201" s="483"/>
      <c r="E1201" s="483"/>
      <c r="F1201" s="483"/>
      <c r="G1201" s="483"/>
      <c r="H1201" s="483"/>
      <c r="I1201" s="483"/>
      <c r="J1201" s="483"/>
    </row>
    <row r="1202" customFormat="false" ht="14.25" hidden="false" customHeight="false" outlineLevel="0" collapsed="false">
      <c r="A1202" s="483"/>
      <c r="B1202" s="483"/>
      <c r="C1202" s="483"/>
      <c r="D1202" s="483"/>
      <c r="E1202" s="483"/>
      <c r="F1202" s="483"/>
      <c r="G1202" s="483"/>
      <c r="H1202" s="483"/>
      <c r="I1202" s="483"/>
      <c r="J1202" s="483"/>
    </row>
    <row r="1203" customFormat="false" ht="14.25" hidden="false" customHeight="false" outlineLevel="0" collapsed="false">
      <c r="A1203" s="483"/>
      <c r="B1203" s="483"/>
      <c r="C1203" s="483"/>
      <c r="D1203" s="483"/>
      <c r="E1203" s="483"/>
      <c r="F1203" s="483"/>
      <c r="G1203" s="483"/>
      <c r="H1203" s="483"/>
      <c r="I1203" s="483"/>
      <c r="J1203" s="483"/>
    </row>
    <row r="1204" customFormat="false" ht="14.25" hidden="false" customHeight="false" outlineLevel="0" collapsed="false">
      <c r="A1204" s="483"/>
      <c r="B1204" s="483"/>
      <c r="C1204" s="483"/>
      <c r="D1204" s="483"/>
      <c r="E1204" s="483"/>
      <c r="F1204" s="483"/>
      <c r="G1204" s="483"/>
      <c r="H1204" s="483"/>
      <c r="I1204" s="483"/>
      <c r="J1204" s="483"/>
    </row>
    <row r="1205" customFormat="false" ht="14.25" hidden="false" customHeight="false" outlineLevel="0" collapsed="false">
      <c r="A1205" s="483"/>
      <c r="B1205" s="483"/>
      <c r="C1205" s="483"/>
      <c r="D1205" s="483"/>
      <c r="E1205" s="483"/>
      <c r="F1205" s="483"/>
      <c r="G1205" s="483"/>
      <c r="H1205" s="483"/>
      <c r="I1205" s="483"/>
      <c r="J1205" s="483"/>
    </row>
    <row r="1206" customFormat="false" ht="14.25" hidden="false" customHeight="false" outlineLevel="0" collapsed="false">
      <c r="A1206" s="483"/>
      <c r="B1206" s="483"/>
      <c r="C1206" s="483"/>
      <c r="D1206" s="483"/>
      <c r="E1206" s="483"/>
      <c r="F1206" s="483"/>
      <c r="G1206" s="483"/>
      <c r="H1206" s="483"/>
      <c r="I1206" s="483"/>
      <c r="J1206" s="483"/>
    </row>
    <row r="1207" customFormat="false" ht="14.25" hidden="false" customHeight="false" outlineLevel="0" collapsed="false">
      <c r="A1207" s="483"/>
      <c r="B1207" s="483"/>
      <c r="C1207" s="483"/>
      <c r="D1207" s="483"/>
      <c r="E1207" s="483"/>
      <c r="F1207" s="483"/>
      <c r="G1207" s="483"/>
      <c r="H1207" s="483"/>
      <c r="I1207" s="483"/>
      <c r="J1207" s="483"/>
    </row>
    <row r="1208" customFormat="false" ht="14.25" hidden="false" customHeight="false" outlineLevel="0" collapsed="false">
      <c r="A1208" s="483"/>
      <c r="B1208" s="483"/>
      <c r="C1208" s="483"/>
      <c r="D1208" s="483"/>
      <c r="E1208" s="483"/>
      <c r="F1208" s="483"/>
      <c r="G1208" s="483"/>
      <c r="H1208" s="483"/>
      <c r="I1208" s="483"/>
      <c r="J1208" s="483"/>
    </row>
    <row r="1209" customFormat="false" ht="14.25" hidden="false" customHeight="false" outlineLevel="0" collapsed="false">
      <c r="A1209" s="483"/>
      <c r="B1209" s="483"/>
      <c r="C1209" s="483"/>
      <c r="D1209" s="483"/>
      <c r="E1209" s="483"/>
      <c r="F1209" s="483"/>
      <c r="G1209" s="483"/>
      <c r="H1209" s="483"/>
      <c r="I1209" s="483"/>
      <c r="J1209" s="483"/>
    </row>
    <row r="1210" customFormat="false" ht="14.25" hidden="false" customHeight="false" outlineLevel="0" collapsed="false">
      <c r="A1210" s="483"/>
      <c r="B1210" s="483"/>
      <c r="C1210" s="483"/>
      <c r="D1210" s="483"/>
      <c r="E1210" s="483"/>
      <c r="F1210" s="483"/>
      <c r="G1210" s="483"/>
      <c r="H1210" s="483"/>
      <c r="I1210" s="483"/>
      <c r="J1210" s="483"/>
    </row>
    <row r="1211" customFormat="false" ht="14.25" hidden="false" customHeight="false" outlineLevel="0" collapsed="false">
      <c r="A1211" s="483"/>
      <c r="B1211" s="483"/>
      <c r="C1211" s="483"/>
      <c r="D1211" s="483"/>
      <c r="E1211" s="483"/>
      <c r="F1211" s="483"/>
      <c r="G1211" s="483"/>
      <c r="H1211" s="483"/>
      <c r="I1211" s="483"/>
      <c r="J1211" s="483"/>
    </row>
    <row r="1212" customFormat="false" ht="14.25" hidden="false" customHeight="false" outlineLevel="0" collapsed="false">
      <c r="A1212" s="483"/>
      <c r="B1212" s="483"/>
      <c r="C1212" s="483"/>
      <c r="D1212" s="483"/>
      <c r="E1212" s="483"/>
      <c r="F1212" s="483"/>
      <c r="G1212" s="483"/>
      <c r="H1212" s="483"/>
      <c r="I1212" s="483"/>
      <c r="J1212" s="483"/>
    </row>
    <row r="1213" customFormat="false" ht="14.25" hidden="false" customHeight="false" outlineLevel="0" collapsed="false">
      <c r="A1213" s="483"/>
      <c r="B1213" s="483"/>
      <c r="C1213" s="483"/>
      <c r="D1213" s="483"/>
      <c r="E1213" s="483"/>
      <c r="F1213" s="483"/>
      <c r="G1213" s="483"/>
      <c r="H1213" s="483"/>
      <c r="I1213" s="483"/>
      <c r="J1213" s="483"/>
    </row>
    <row r="1214" customFormat="false" ht="14.25" hidden="false" customHeight="false" outlineLevel="0" collapsed="false">
      <c r="A1214" s="483"/>
      <c r="B1214" s="483"/>
      <c r="C1214" s="483"/>
      <c r="D1214" s="483"/>
      <c r="E1214" s="483"/>
      <c r="F1214" s="483"/>
      <c r="G1214" s="483"/>
      <c r="H1214" s="483"/>
      <c r="I1214" s="483"/>
      <c r="J1214" s="483"/>
    </row>
    <row r="1215" customFormat="false" ht="14.25" hidden="false" customHeight="false" outlineLevel="0" collapsed="false">
      <c r="A1215" s="483"/>
      <c r="B1215" s="483"/>
      <c r="C1215" s="483"/>
      <c r="D1215" s="483"/>
      <c r="E1215" s="483"/>
      <c r="F1215" s="483"/>
      <c r="G1215" s="483"/>
      <c r="H1215" s="483"/>
      <c r="I1215" s="483"/>
      <c r="J1215" s="483"/>
    </row>
    <row r="1216" customFormat="false" ht="14.25" hidden="false" customHeight="false" outlineLevel="0" collapsed="false">
      <c r="A1216" s="483"/>
      <c r="B1216" s="483"/>
      <c r="C1216" s="483"/>
      <c r="D1216" s="483"/>
      <c r="E1216" s="483"/>
      <c r="F1216" s="483"/>
      <c r="G1216" s="483"/>
      <c r="H1216" s="483"/>
      <c r="I1216" s="483"/>
      <c r="J1216" s="483"/>
    </row>
    <row r="1217" customFormat="false" ht="14.25" hidden="false" customHeight="false" outlineLevel="0" collapsed="false">
      <c r="A1217" s="483"/>
      <c r="B1217" s="483"/>
      <c r="C1217" s="483"/>
      <c r="D1217" s="483"/>
      <c r="E1217" s="483"/>
      <c r="F1217" s="483"/>
      <c r="G1217" s="483"/>
      <c r="H1217" s="483"/>
      <c r="I1217" s="483"/>
      <c r="J1217" s="483"/>
    </row>
    <row r="1218" customFormat="false" ht="14.25" hidden="false" customHeight="false" outlineLevel="0" collapsed="false">
      <c r="A1218" s="483"/>
      <c r="B1218" s="483"/>
      <c r="C1218" s="483"/>
      <c r="D1218" s="483"/>
      <c r="E1218" s="483"/>
      <c r="F1218" s="483"/>
      <c r="G1218" s="483"/>
      <c r="H1218" s="483"/>
      <c r="I1218" s="483"/>
      <c r="J1218" s="483"/>
    </row>
    <row r="1219" customFormat="false" ht="14.25" hidden="false" customHeight="false" outlineLevel="0" collapsed="false">
      <c r="A1219" s="483"/>
      <c r="B1219" s="483"/>
      <c r="C1219" s="483"/>
      <c r="D1219" s="483"/>
      <c r="E1219" s="483"/>
      <c r="F1219" s="483"/>
      <c r="G1219" s="483"/>
      <c r="H1219" s="483"/>
      <c r="I1219" s="483"/>
      <c r="J1219" s="483"/>
    </row>
    <row r="1220" customFormat="false" ht="14.25" hidden="false" customHeight="false" outlineLevel="0" collapsed="false">
      <c r="A1220" s="483"/>
      <c r="B1220" s="483"/>
      <c r="C1220" s="483"/>
      <c r="D1220" s="483"/>
      <c r="E1220" s="483"/>
      <c r="F1220" s="483"/>
      <c r="G1220" s="483"/>
      <c r="H1220" s="483"/>
      <c r="I1220" s="483"/>
      <c r="J1220" s="483"/>
    </row>
    <row r="1221" customFormat="false" ht="14.25" hidden="false" customHeight="false" outlineLevel="0" collapsed="false">
      <c r="A1221" s="483"/>
      <c r="B1221" s="483"/>
      <c r="C1221" s="483"/>
      <c r="D1221" s="483"/>
      <c r="E1221" s="483"/>
      <c r="F1221" s="483"/>
      <c r="G1221" s="483"/>
      <c r="H1221" s="483"/>
      <c r="I1221" s="483"/>
      <c r="J1221" s="483"/>
    </row>
    <row r="1222" customFormat="false" ht="14.25" hidden="false" customHeight="false" outlineLevel="0" collapsed="false">
      <c r="A1222" s="483"/>
      <c r="B1222" s="483"/>
      <c r="C1222" s="483"/>
      <c r="D1222" s="483"/>
      <c r="E1222" s="483"/>
      <c r="F1222" s="483"/>
      <c r="G1222" s="483"/>
      <c r="H1222" s="483"/>
      <c r="I1222" s="483"/>
      <c r="J1222" s="483"/>
    </row>
    <row r="1223" customFormat="false" ht="14.25" hidden="false" customHeight="false" outlineLevel="0" collapsed="false">
      <c r="A1223" s="483"/>
      <c r="B1223" s="483"/>
      <c r="C1223" s="483"/>
      <c r="D1223" s="483"/>
      <c r="E1223" s="483"/>
      <c r="F1223" s="483"/>
      <c r="G1223" s="483"/>
      <c r="H1223" s="483"/>
      <c r="I1223" s="483"/>
      <c r="J1223" s="483"/>
    </row>
    <row r="1224" customFormat="false" ht="14.25" hidden="false" customHeight="false" outlineLevel="0" collapsed="false">
      <c r="A1224" s="483"/>
      <c r="B1224" s="483"/>
      <c r="C1224" s="483"/>
      <c r="D1224" s="483"/>
      <c r="E1224" s="483"/>
      <c r="F1224" s="483"/>
      <c r="G1224" s="483"/>
      <c r="H1224" s="483"/>
      <c r="I1224" s="483"/>
      <c r="J1224" s="483"/>
    </row>
    <row r="1225" customFormat="false" ht="14.25" hidden="false" customHeight="false" outlineLevel="0" collapsed="false">
      <c r="A1225" s="483"/>
      <c r="B1225" s="483"/>
      <c r="C1225" s="483"/>
      <c r="D1225" s="483"/>
      <c r="E1225" s="483"/>
      <c r="F1225" s="483"/>
      <c r="G1225" s="483"/>
      <c r="H1225" s="483"/>
      <c r="I1225" s="483"/>
      <c r="J1225" s="483"/>
    </row>
    <row r="1226" customFormat="false" ht="14.25" hidden="false" customHeight="false" outlineLevel="0" collapsed="false">
      <c r="A1226" s="483"/>
      <c r="B1226" s="483"/>
      <c r="C1226" s="483"/>
      <c r="D1226" s="483"/>
      <c r="E1226" s="483"/>
      <c r="F1226" s="483"/>
      <c r="G1226" s="483"/>
      <c r="H1226" s="483"/>
      <c r="I1226" s="483"/>
      <c r="J1226" s="483"/>
    </row>
    <row r="1227" customFormat="false" ht="14.25" hidden="false" customHeight="false" outlineLevel="0" collapsed="false">
      <c r="A1227" s="483"/>
      <c r="B1227" s="483"/>
      <c r="C1227" s="483"/>
      <c r="D1227" s="483"/>
      <c r="E1227" s="483"/>
      <c r="F1227" s="483"/>
      <c r="G1227" s="483"/>
      <c r="H1227" s="483"/>
      <c r="I1227" s="483"/>
      <c r="J1227" s="483"/>
    </row>
    <row r="1228" customFormat="false" ht="14.25" hidden="false" customHeight="false" outlineLevel="0" collapsed="false">
      <c r="A1228" s="483"/>
      <c r="B1228" s="483"/>
      <c r="C1228" s="483"/>
      <c r="D1228" s="483"/>
      <c r="E1228" s="483"/>
      <c r="F1228" s="483"/>
      <c r="G1228" s="483"/>
      <c r="H1228" s="483"/>
      <c r="I1228" s="483"/>
      <c r="J1228" s="483"/>
    </row>
    <row r="1229" customFormat="false" ht="14.25" hidden="false" customHeight="false" outlineLevel="0" collapsed="false">
      <c r="A1229" s="483"/>
      <c r="B1229" s="483"/>
      <c r="C1229" s="483"/>
      <c r="D1229" s="483"/>
      <c r="E1229" s="483"/>
      <c r="F1229" s="483"/>
      <c r="G1229" s="483"/>
      <c r="H1229" s="483"/>
      <c r="I1229" s="483"/>
      <c r="J1229" s="483"/>
    </row>
    <row r="1230" customFormat="false" ht="14.25" hidden="false" customHeight="false" outlineLevel="0" collapsed="false">
      <c r="A1230" s="483"/>
      <c r="B1230" s="483"/>
      <c r="C1230" s="483"/>
      <c r="D1230" s="483"/>
      <c r="E1230" s="483"/>
      <c r="F1230" s="483"/>
      <c r="G1230" s="483"/>
      <c r="H1230" s="483"/>
      <c r="I1230" s="483"/>
      <c r="J1230" s="483"/>
    </row>
    <row r="1231" customFormat="false" ht="14.25" hidden="false" customHeight="false" outlineLevel="0" collapsed="false">
      <c r="A1231" s="483"/>
      <c r="B1231" s="483"/>
      <c r="C1231" s="483"/>
      <c r="D1231" s="483"/>
      <c r="E1231" s="483"/>
      <c r="F1231" s="483"/>
      <c r="G1231" s="483"/>
      <c r="H1231" s="483"/>
      <c r="I1231" s="483"/>
      <c r="J1231" s="483"/>
    </row>
    <row r="1232" customFormat="false" ht="14.25" hidden="false" customHeight="false" outlineLevel="0" collapsed="false">
      <c r="A1232" s="483"/>
      <c r="B1232" s="483"/>
      <c r="C1232" s="483"/>
      <c r="D1232" s="483"/>
      <c r="E1232" s="483"/>
      <c r="F1232" s="483"/>
      <c r="G1232" s="483"/>
      <c r="H1232" s="483"/>
      <c r="I1232" s="483"/>
      <c r="J1232" s="483"/>
    </row>
    <row r="1233" customFormat="false" ht="14.25" hidden="false" customHeight="false" outlineLevel="0" collapsed="false">
      <c r="A1233" s="483"/>
      <c r="B1233" s="483"/>
      <c r="C1233" s="483"/>
      <c r="D1233" s="483"/>
      <c r="E1233" s="483"/>
      <c r="F1233" s="483"/>
      <c r="G1233" s="483"/>
      <c r="H1233" s="483"/>
      <c r="I1233" s="483"/>
      <c r="J1233" s="483"/>
    </row>
    <row r="1234" customFormat="false" ht="14.25" hidden="false" customHeight="false" outlineLevel="0" collapsed="false">
      <c r="A1234" s="483"/>
      <c r="B1234" s="483"/>
      <c r="C1234" s="483"/>
      <c r="D1234" s="483"/>
      <c r="E1234" s="483"/>
      <c r="F1234" s="483"/>
      <c r="G1234" s="483"/>
      <c r="H1234" s="483"/>
      <c r="I1234" s="483"/>
      <c r="J1234" s="483"/>
    </row>
    <row r="1235" customFormat="false" ht="14.25" hidden="false" customHeight="false" outlineLevel="0" collapsed="false">
      <c r="A1235" s="483"/>
      <c r="B1235" s="483"/>
      <c r="C1235" s="483"/>
      <c r="D1235" s="483"/>
      <c r="E1235" s="483"/>
      <c r="F1235" s="483"/>
      <c r="G1235" s="483"/>
      <c r="H1235" s="483"/>
      <c r="I1235" s="483"/>
      <c r="J1235" s="483"/>
    </row>
    <row r="1236" customFormat="false" ht="14.25" hidden="false" customHeight="false" outlineLevel="0" collapsed="false">
      <c r="A1236" s="483"/>
      <c r="B1236" s="483"/>
      <c r="C1236" s="483"/>
      <c r="D1236" s="483"/>
      <c r="E1236" s="483"/>
      <c r="F1236" s="483"/>
      <c r="G1236" s="483"/>
      <c r="H1236" s="483"/>
      <c r="I1236" s="483"/>
      <c r="J1236" s="483"/>
    </row>
    <row r="1237" customFormat="false" ht="14.25" hidden="false" customHeight="false" outlineLevel="0" collapsed="false">
      <c r="A1237" s="483"/>
      <c r="B1237" s="483"/>
      <c r="C1237" s="483"/>
      <c r="D1237" s="483"/>
      <c r="E1237" s="483"/>
      <c r="F1237" s="483"/>
      <c r="G1237" s="483"/>
      <c r="H1237" s="483"/>
      <c r="I1237" s="483"/>
      <c r="J1237" s="483"/>
    </row>
    <row r="1238" customFormat="false" ht="14.25" hidden="false" customHeight="false" outlineLevel="0" collapsed="false">
      <c r="A1238" s="483"/>
      <c r="B1238" s="483"/>
      <c r="C1238" s="483"/>
      <c r="D1238" s="483"/>
      <c r="E1238" s="483"/>
      <c r="F1238" s="483"/>
      <c r="G1238" s="483"/>
      <c r="H1238" s="483"/>
      <c r="I1238" s="483"/>
      <c r="J1238" s="483"/>
    </row>
    <row r="1239" customFormat="false" ht="14.25" hidden="false" customHeight="false" outlineLevel="0" collapsed="false">
      <c r="A1239" s="483"/>
      <c r="B1239" s="483"/>
      <c r="C1239" s="483"/>
      <c r="D1239" s="483"/>
      <c r="E1239" s="483"/>
      <c r="F1239" s="483"/>
      <c r="G1239" s="483"/>
      <c r="H1239" s="483"/>
      <c r="I1239" s="483"/>
      <c r="J1239" s="483"/>
    </row>
    <row r="1240" customFormat="false" ht="14.25" hidden="false" customHeight="false" outlineLevel="0" collapsed="false">
      <c r="A1240" s="483"/>
      <c r="B1240" s="483"/>
      <c r="C1240" s="483"/>
      <c r="D1240" s="483"/>
      <c r="E1240" s="483"/>
      <c r="F1240" s="483"/>
      <c r="G1240" s="483"/>
      <c r="H1240" s="483"/>
      <c r="I1240" s="483"/>
      <c r="J1240" s="483"/>
    </row>
    <row r="1241" customFormat="false" ht="14.25" hidden="false" customHeight="false" outlineLevel="0" collapsed="false">
      <c r="A1241" s="483"/>
      <c r="B1241" s="483"/>
      <c r="C1241" s="483"/>
      <c r="D1241" s="483"/>
      <c r="E1241" s="483"/>
      <c r="F1241" s="483"/>
      <c r="G1241" s="483"/>
      <c r="H1241" s="483"/>
      <c r="I1241" s="483"/>
      <c r="J1241" s="483"/>
    </row>
    <row r="1242" customFormat="false" ht="14.25" hidden="false" customHeight="false" outlineLevel="0" collapsed="false">
      <c r="A1242" s="483"/>
      <c r="B1242" s="483"/>
      <c r="C1242" s="483"/>
      <c r="D1242" s="483"/>
      <c r="E1242" s="483"/>
      <c r="F1242" s="483"/>
      <c r="G1242" s="483"/>
      <c r="H1242" s="483"/>
      <c r="I1242" s="483"/>
      <c r="J1242" s="483"/>
    </row>
    <row r="1243" customFormat="false" ht="14.25" hidden="false" customHeight="false" outlineLevel="0" collapsed="false">
      <c r="A1243" s="483"/>
      <c r="B1243" s="483"/>
      <c r="C1243" s="483"/>
      <c r="D1243" s="483"/>
      <c r="E1243" s="483"/>
      <c r="F1243" s="483"/>
      <c r="G1243" s="483"/>
      <c r="H1243" s="483"/>
      <c r="I1243" s="483"/>
      <c r="J1243" s="483"/>
    </row>
    <row r="1244" customFormat="false" ht="14.25" hidden="false" customHeight="false" outlineLevel="0" collapsed="false">
      <c r="A1244" s="483"/>
      <c r="B1244" s="483"/>
      <c r="C1244" s="483"/>
      <c r="D1244" s="483"/>
      <c r="E1244" s="483"/>
      <c r="F1244" s="483"/>
      <c r="G1244" s="483"/>
      <c r="H1244" s="483"/>
      <c r="I1244" s="483"/>
      <c r="J1244" s="483"/>
    </row>
    <row r="1245" customFormat="false" ht="14.25" hidden="false" customHeight="false" outlineLevel="0" collapsed="false">
      <c r="A1245" s="483"/>
      <c r="B1245" s="483"/>
      <c r="C1245" s="483"/>
      <c r="D1245" s="483"/>
      <c r="E1245" s="483"/>
      <c r="F1245" s="483"/>
      <c r="G1245" s="483"/>
      <c r="H1245" s="483"/>
      <c r="I1245" s="483"/>
      <c r="J1245" s="483"/>
    </row>
    <row r="1246" customFormat="false" ht="14.25" hidden="false" customHeight="false" outlineLevel="0" collapsed="false">
      <c r="A1246" s="483"/>
      <c r="B1246" s="483"/>
      <c r="C1246" s="483"/>
      <c r="D1246" s="483"/>
      <c r="E1246" s="483"/>
      <c r="F1246" s="483"/>
      <c r="G1246" s="483"/>
      <c r="H1246" s="483"/>
      <c r="I1246" s="483"/>
      <c r="J1246" s="483"/>
    </row>
    <row r="1247" customFormat="false" ht="14.25" hidden="false" customHeight="false" outlineLevel="0" collapsed="false">
      <c r="A1247" s="483"/>
      <c r="B1247" s="483"/>
      <c r="C1247" s="483"/>
      <c r="D1247" s="483"/>
      <c r="E1247" s="483"/>
      <c r="F1247" s="483"/>
      <c r="G1247" s="483"/>
      <c r="H1247" s="483"/>
      <c r="I1247" s="483"/>
      <c r="J1247" s="483"/>
    </row>
    <row r="1248" customFormat="false" ht="14.25" hidden="false" customHeight="false" outlineLevel="0" collapsed="false">
      <c r="A1248" s="483"/>
      <c r="B1248" s="483"/>
      <c r="C1248" s="483"/>
      <c r="D1248" s="483"/>
      <c r="E1248" s="483"/>
      <c r="F1248" s="483"/>
      <c r="G1248" s="483"/>
      <c r="H1248" s="483"/>
      <c r="I1248" s="483"/>
      <c r="J1248" s="483"/>
    </row>
    <row r="1249" customFormat="false" ht="14.25" hidden="false" customHeight="false" outlineLevel="0" collapsed="false">
      <c r="A1249" s="483"/>
      <c r="B1249" s="483"/>
      <c r="C1249" s="483"/>
      <c r="D1249" s="483"/>
      <c r="E1249" s="483"/>
      <c r="F1249" s="483"/>
      <c r="G1249" s="483"/>
      <c r="H1249" s="483"/>
      <c r="I1249" s="483"/>
      <c r="J1249" s="483"/>
    </row>
    <row r="1250" customFormat="false" ht="14.25" hidden="false" customHeight="false" outlineLevel="0" collapsed="false">
      <c r="A1250" s="483"/>
      <c r="B1250" s="483"/>
      <c r="C1250" s="483"/>
      <c r="D1250" s="483"/>
      <c r="E1250" s="483"/>
      <c r="F1250" s="483"/>
      <c r="G1250" s="483"/>
      <c r="H1250" s="483"/>
      <c r="I1250" s="483"/>
      <c r="J1250" s="483"/>
    </row>
    <row r="1251" customFormat="false" ht="14.25" hidden="false" customHeight="false" outlineLevel="0" collapsed="false">
      <c r="A1251" s="483"/>
      <c r="B1251" s="483"/>
      <c r="C1251" s="483"/>
      <c r="D1251" s="483"/>
      <c r="E1251" s="483"/>
      <c r="F1251" s="483"/>
      <c r="G1251" s="483"/>
      <c r="H1251" s="483"/>
      <c r="I1251" s="483"/>
      <c r="J1251" s="483"/>
    </row>
    <row r="1252" customFormat="false" ht="14.25" hidden="false" customHeight="false" outlineLevel="0" collapsed="false">
      <c r="A1252" s="483"/>
      <c r="B1252" s="483"/>
      <c r="C1252" s="483"/>
      <c r="D1252" s="483"/>
      <c r="E1252" s="483"/>
      <c r="F1252" s="483"/>
      <c r="G1252" s="483"/>
      <c r="H1252" s="483"/>
      <c r="I1252" s="483"/>
      <c r="J1252" s="483"/>
    </row>
    <row r="1253" customFormat="false" ht="14.25" hidden="false" customHeight="false" outlineLevel="0" collapsed="false">
      <c r="A1253" s="483"/>
      <c r="B1253" s="483"/>
      <c r="C1253" s="483"/>
      <c r="D1253" s="483"/>
      <c r="E1253" s="483"/>
      <c r="F1253" s="483"/>
      <c r="G1253" s="483"/>
      <c r="H1253" s="483"/>
      <c r="I1253" s="483"/>
      <c r="J1253" s="483"/>
    </row>
    <row r="1254" customFormat="false" ht="14.25" hidden="false" customHeight="false" outlineLevel="0" collapsed="false">
      <c r="A1254" s="483"/>
      <c r="B1254" s="483"/>
      <c r="C1254" s="483"/>
      <c r="D1254" s="483"/>
      <c r="E1254" s="483"/>
      <c r="F1254" s="483"/>
      <c r="G1254" s="483"/>
      <c r="H1254" s="483"/>
      <c r="I1254" s="483"/>
      <c r="J1254" s="483"/>
    </row>
    <row r="1255" customFormat="false" ht="14.25" hidden="false" customHeight="false" outlineLevel="0" collapsed="false">
      <c r="A1255" s="483"/>
      <c r="B1255" s="483"/>
      <c r="C1255" s="483"/>
      <c r="D1255" s="483"/>
      <c r="E1255" s="483"/>
      <c r="F1255" s="483"/>
      <c r="G1255" s="483"/>
      <c r="H1255" s="483"/>
      <c r="I1255" s="483"/>
      <c r="J1255" s="483"/>
    </row>
    <row r="1256" customFormat="false" ht="14.25" hidden="false" customHeight="false" outlineLevel="0" collapsed="false">
      <c r="A1256" s="483"/>
      <c r="B1256" s="483"/>
      <c r="C1256" s="483"/>
      <c r="D1256" s="483"/>
      <c r="E1256" s="483"/>
      <c r="F1256" s="483"/>
      <c r="G1256" s="483"/>
      <c r="H1256" s="483"/>
      <c r="I1256" s="483"/>
      <c r="J1256" s="483"/>
    </row>
    <row r="1257" customFormat="false" ht="14.25" hidden="false" customHeight="false" outlineLevel="0" collapsed="false">
      <c r="A1257" s="483"/>
      <c r="B1257" s="483"/>
      <c r="C1257" s="483"/>
      <c r="D1257" s="483"/>
      <c r="E1257" s="483"/>
      <c r="F1257" s="483"/>
      <c r="G1257" s="483"/>
      <c r="H1257" s="483"/>
      <c r="I1257" s="483"/>
      <c r="J1257" s="483"/>
    </row>
    <row r="1258" customFormat="false" ht="14.25" hidden="false" customHeight="false" outlineLevel="0" collapsed="false">
      <c r="A1258" s="483"/>
      <c r="B1258" s="483"/>
      <c r="C1258" s="483"/>
      <c r="D1258" s="483"/>
      <c r="E1258" s="483"/>
      <c r="F1258" s="483"/>
      <c r="G1258" s="483"/>
      <c r="H1258" s="483"/>
      <c r="I1258" s="483"/>
      <c r="J1258" s="483"/>
    </row>
    <row r="1259" customFormat="false" ht="14.25" hidden="false" customHeight="false" outlineLevel="0" collapsed="false">
      <c r="A1259" s="483"/>
      <c r="B1259" s="483"/>
      <c r="C1259" s="483"/>
      <c r="D1259" s="483"/>
      <c r="E1259" s="483"/>
      <c r="F1259" s="483"/>
      <c r="G1259" s="483"/>
      <c r="H1259" s="483"/>
      <c r="I1259" s="483"/>
      <c r="J1259" s="483"/>
    </row>
    <row r="1260" customFormat="false" ht="14.25" hidden="false" customHeight="false" outlineLevel="0" collapsed="false">
      <c r="A1260" s="483"/>
      <c r="B1260" s="483"/>
      <c r="C1260" s="483"/>
      <c r="D1260" s="483"/>
      <c r="E1260" s="483"/>
      <c r="F1260" s="483"/>
      <c r="G1260" s="483"/>
      <c r="H1260" s="483"/>
      <c r="I1260" s="483"/>
      <c r="J1260" s="483"/>
    </row>
    <row r="1261" customFormat="false" ht="14.25" hidden="false" customHeight="false" outlineLevel="0" collapsed="false">
      <c r="A1261" s="483"/>
      <c r="B1261" s="483"/>
      <c r="C1261" s="483"/>
      <c r="D1261" s="483"/>
      <c r="E1261" s="483"/>
      <c r="F1261" s="483"/>
      <c r="G1261" s="483"/>
      <c r="H1261" s="483"/>
      <c r="I1261" s="483"/>
      <c r="J1261" s="483"/>
    </row>
    <row r="1262" customFormat="false" ht="14.25" hidden="false" customHeight="false" outlineLevel="0" collapsed="false">
      <c r="A1262" s="483"/>
      <c r="B1262" s="483"/>
      <c r="C1262" s="483"/>
      <c r="D1262" s="483"/>
      <c r="E1262" s="483"/>
      <c r="F1262" s="483"/>
      <c r="G1262" s="483"/>
      <c r="H1262" s="483"/>
      <c r="I1262" s="483"/>
      <c r="J1262" s="483"/>
    </row>
    <row r="1263" customFormat="false" ht="14.25" hidden="false" customHeight="false" outlineLevel="0" collapsed="false">
      <c r="A1263" s="483"/>
      <c r="B1263" s="483"/>
      <c r="C1263" s="483"/>
      <c r="D1263" s="483"/>
      <c r="E1263" s="483"/>
      <c r="F1263" s="483"/>
      <c r="G1263" s="483"/>
      <c r="H1263" s="483"/>
      <c r="I1263" s="483"/>
      <c r="J1263" s="483"/>
    </row>
    <row r="1264" customFormat="false" ht="14.25" hidden="false" customHeight="false" outlineLevel="0" collapsed="false">
      <c r="A1264" s="483"/>
      <c r="B1264" s="483"/>
      <c r="C1264" s="483"/>
      <c r="D1264" s="483"/>
      <c r="E1264" s="483"/>
      <c r="F1264" s="483"/>
      <c r="G1264" s="483"/>
      <c r="H1264" s="483"/>
      <c r="I1264" s="483"/>
      <c r="J1264" s="483"/>
    </row>
    <row r="1265" customFormat="false" ht="14.25" hidden="false" customHeight="false" outlineLevel="0" collapsed="false">
      <c r="A1265" s="483"/>
      <c r="B1265" s="483"/>
      <c r="C1265" s="483"/>
      <c r="D1265" s="483"/>
      <c r="E1265" s="483"/>
      <c r="F1265" s="483"/>
      <c r="G1265" s="483"/>
      <c r="H1265" s="483"/>
      <c r="I1265" s="483"/>
      <c r="J1265" s="483"/>
    </row>
    <row r="1266" customFormat="false" ht="14.25" hidden="false" customHeight="false" outlineLevel="0" collapsed="false">
      <c r="A1266" s="483"/>
      <c r="B1266" s="483"/>
      <c r="C1266" s="483"/>
      <c r="D1266" s="483"/>
      <c r="E1266" s="483"/>
      <c r="F1266" s="483"/>
      <c r="G1266" s="483"/>
      <c r="H1266" s="483"/>
      <c r="I1266" s="483"/>
      <c r="J1266" s="483"/>
    </row>
    <row r="1267" customFormat="false" ht="14.25" hidden="false" customHeight="false" outlineLevel="0" collapsed="false">
      <c r="A1267" s="483"/>
      <c r="B1267" s="483"/>
      <c r="C1267" s="483"/>
      <c r="D1267" s="483"/>
      <c r="E1267" s="483"/>
      <c r="F1267" s="483"/>
      <c r="G1267" s="483"/>
      <c r="H1267" s="483"/>
      <c r="I1267" s="483"/>
      <c r="J1267" s="483"/>
    </row>
    <row r="1268" customFormat="false" ht="14.25" hidden="false" customHeight="false" outlineLevel="0" collapsed="false">
      <c r="A1268" s="483"/>
      <c r="B1268" s="483"/>
      <c r="C1268" s="483"/>
      <c r="D1268" s="483"/>
      <c r="E1268" s="483"/>
      <c r="F1268" s="483"/>
      <c r="G1268" s="483"/>
      <c r="H1268" s="483"/>
      <c r="I1268" s="483"/>
      <c r="J1268" s="483"/>
    </row>
    <row r="1269" customFormat="false" ht="14.25" hidden="false" customHeight="false" outlineLevel="0" collapsed="false">
      <c r="A1269" s="483"/>
      <c r="B1269" s="483"/>
      <c r="C1269" s="483"/>
      <c r="D1269" s="483"/>
      <c r="E1269" s="483"/>
      <c r="F1269" s="483"/>
      <c r="G1269" s="483"/>
      <c r="H1269" s="483"/>
      <c r="I1269" s="483"/>
      <c r="J1269" s="483"/>
    </row>
    <row r="1270" customFormat="false" ht="14.25" hidden="false" customHeight="false" outlineLevel="0" collapsed="false">
      <c r="A1270" s="483"/>
      <c r="B1270" s="483"/>
      <c r="C1270" s="483"/>
      <c r="D1270" s="483"/>
      <c r="E1270" s="483"/>
      <c r="F1270" s="483"/>
      <c r="G1270" s="483"/>
      <c r="H1270" s="483"/>
      <c r="I1270" s="483"/>
      <c r="J1270" s="483"/>
    </row>
    <row r="1271" customFormat="false" ht="14.25" hidden="false" customHeight="false" outlineLevel="0" collapsed="false">
      <c r="A1271" s="483"/>
      <c r="B1271" s="483"/>
      <c r="C1271" s="483"/>
      <c r="D1271" s="483"/>
      <c r="E1271" s="483"/>
      <c r="F1271" s="483"/>
      <c r="G1271" s="483"/>
      <c r="H1271" s="483"/>
      <c r="I1271" s="483"/>
      <c r="J1271" s="483"/>
    </row>
    <row r="1272" customFormat="false" ht="14.25" hidden="false" customHeight="false" outlineLevel="0" collapsed="false">
      <c r="A1272" s="483"/>
      <c r="B1272" s="483"/>
      <c r="C1272" s="483"/>
      <c r="D1272" s="483"/>
      <c r="E1272" s="483"/>
      <c r="F1272" s="483"/>
      <c r="G1272" s="483"/>
      <c r="H1272" s="483"/>
      <c r="I1272" s="483"/>
      <c r="J1272" s="483"/>
    </row>
    <row r="1273" customFormat="false" ht="14.25" hidden="false" customHeight="false" outlineLevel="0" collapsed="false">
      <c r="A1273" s="483"/>
      <c r="B1273" s="483"/>
      <c r="C1273" s="483"/>
      <c r="D1273" s="483"/>
      <c r="E1273" s="483"/>
      <c r="F1273" s="483"/>
      <c r="G1273" s="483"/>
      <c r="H1273" s="483"/>
      <c r="I1273" s="483"/>
      <c r="J1273" s="483"/>
    </row>
    <row r="1274" customFormat="false" ht="14.25" hidden="false" customHeight="false" outlineLevel="0" collapsed="false">
      <c r="A1274" s="483"/>
      <c r="B1274" s="483"/>
      <c r="C1274" s="483"/>
      <c r="D1274" s="483"/>
      <c r="E1274" s="483"/>
      <c r="F1274" s="483"/>
      <c r="G1274" s="483"/>
      <c r="H1274" s="483"/>
      <c r="I1274" s="483"/>
      <c r="J1274" s="483"/>
    </row>
    <row r="1275" customFormat="false" ht="14.25" hidden="false" customHeight="false" outlineLevel="0" collapsed="false">
      <c r="A1275" s="483"/>
      <c r="B1275" s="483"/>
      <c r="C1275" s="483"/>
      <c r="D1275" s="483"/>
      <c r="E1275" s="483"/>
      <c r="F1275" s="483"/>
      <c r="G1275" s="483"/>
      <c r="H1275" s="483"/>
      <c r="I1275" s="483"/>
      <c r="J1275" s="483"/>
    </row>
    <row r="1276" customFormat="false" ht="14.25" hidden="false" customHeight="false" outlineLevel="0" collapsed="false">
      <c r="A1276" s="483"/>
      <c r="B1276" s="483"/>
      <c r="C1276" s="483"/>
      <c r="D1276" s="483"/>
      <c r="E1276" s="483"/>
      <c r="F1276" s="483"/>
      <c r="G1276" s="483"/>
      <c r="H1276" s="483"/>
      <c r="I1276" s="483"/>
      <c r="J1276" s="483"/>
    </row>
    <row r="1277" customFormat="false" ht="14.25" hidden="false" customHeight="false" outlineLevel="0" collapsed="false">
      <c r="A1277" s="483"/>
      <c r="B1277" s="483"/>
      <c r="C1277" s="483"/>
      <c r="D1277" s="483"/>
      <c r="E1277" s="483"/>
      <c r="F1277" s="483"/>
      <c r="G1277" s="483"/>
      <c r="H1277" s="483"/>
      <c r="I1277" s="483"/>
      <c r="J1277" s="483"/>
    </row>
    <row r="1278" customFormat="false" ht="14.25" hidden="false" customHeight="false" outlineLevel="0" collapsed="false">
      <c r="A1278" s="483"/>
      <c r="B1278" s="483"/>
      <c r="C1278" s="483"/>
      <c r="D1278" s="483"/>
      <c r="E1278" s="483"/>
      <c r="F1278" s="483"/>
      <c r="G1278" s="483"/>
      <c r="H1278" s="483"/>
      <c r="I1278" s="483"/>
      <c r="J1278" s="483"/>
    </row>
    <row r="1279" customFormat="false" ht="14.25" hidden="false" customHeight="false" outlineLevel="0" collapsed="false">
      <c r="A1279" s="483"/>
      <c r="B1279" s="483"/>
      <c r="C1279" s="483"/>
      <c r="D1279" s="483"/>
      <c r="E1279" s="483"/>
      <c r="F1279" s="483"/>
      <c r="G1279" s="483"/>
      <c r="H1279" s="483"/>
      <c r="I1279" s="483"/>
      <c r="J1279" s="483"/>
    </row>
    <row r="1280" customFormat="false" ht="14.25" hidden="false" customHeight="false" outlineLevel="0" collapsed="false">
      <c r="A1280" s="483"/>
      <c r="B1280" s="483"/>
      <c r="C1280" s="483"/>
      <c r="D1280" s="483"/>
      <c r="E1280" s="483"/>
      <c r="F1280" s="483"/>
      <c r="G1280" s="483"/>
      <c r="H1280" s="483"/>
      <c r="I1280" s="483"/>
      <c r="J1280" s="483"/>
    </row>
    <row r="1281" customFormat="false" ht="14.25" hidden="false" customHeight="false" outlineLevel="0" collapsed="false">
      <c r="A1281" s="483"/>
      <c r="B1281" s="483"/>
      <c r="C1281" s="483"/>
      <c r="D1281" s="483"/>
      <c r="E1281" s="483"/>
      <c r="F1281" s="483"/>
      <c r="G1281" s="483"/>
      <c r="H1281" s="483"/>
      <c r="I1281" s="483"/>
      <c r="J1281" s="483"/>
    </row>
    <row r="1282" customFormat="false" ht="14.25" hidden="false" customHeight="false" outlineLevel="0" collapsed="false">
      <c r="A1282" s="483"/>
      <c r="B1282" s="483"/>
      <c r="C1282" s="483"/>
      <c r="D1282" s="483"/>
      <c r="E1282" s="483"/>
      <c r="F1282" s="483"/>
      <c r="G1282" s="483"/>
      <c r="H1282" s="483"/>
      <c r="I1282" s="483"/>
      <c r="J1282" s="483"/>
    </row>
    <row r="1283" customFormat="false" ht="14.25" hidden="false" customHeight="false" outlineLevel="0" collapsed="false">
      <c r="A1283" s="483"/>
      <c r="B1283" s="483"/>
      <c r="C1283" s="483"/>
      <c r="D1283" s="483"/>
      <c r="E1283" s="483"/>
      <c r="F1283" s="483"/>
      <c r="G1283" s="483"/>
      <c r="H1283" s="483"/>
      <c r="I1283" s="483"/>
      <c r="J1283" s="483"/>
    </row>
    <row r="1284" customFormat="false" ht="14.25" hidden="false" customHeight="false" outlineLevel="0" collapsed="false">
      <c r="A1284" s="483"/>
      <c r="B1284" s="483"/>
      <c r="C1284" s="483"/>
      <c r="D1284" s="483"/>
      <c r="E1284" s="483"/>
      <c r="F1284" s="483"/>
      <c r="G1284" s="483"/>
      <c r="H1284" s="483"/>
      <c r="I1284" s="483"/>
      <c r="J1284" s="483"/>
    </row>
    <row r="1285" customFormat="false" ht="14.25" hidden="false" customHeight="false" outlineLevel="0" collapsed="false">
      <c r="A1285" s="483"/>
      <c r="B1285" s="483"/>
      <c r="C1285" s="483"/>
      <c r="D1285" s="483"/>
      <c r="E1285" s="483"/>
      <c r="F1285" s="483"/>
      <c r="G1285" s="483"/>
      <c r="H1285" s="483"/>
      <c r="I1285" s="483"/>
      <c r="J1285" s="483"/>
    </row>
    <row r="1286" customFormat="false" ht="14.25" hidden="false" customHeight="false" outlineLevel="0" collapsed="false">
      <c r="A1286" s="483"/>
      <c r="B1286" s="483"/>
      <c r="C1286" s="483"/>
      <c r="D1286" s="483"/>
      <c r="E1286" s="483"/>
      <c r="F1286" s="483"/>
      <c r="G1286" s="483"/>
      <c r="H1286" s="483"/>
      <c r="I1286" s="483"/>
      <c r="J1286" s="483"/>
    </row>
    <row r="1287" customFormat="false" ht="14.25" hidden="false" customHeight="false" outlineLevel="0" collapsed="false">
      <c r="A1287" s="483"/>
      <c r="B1287" s="483"/>
      <c r="C1287" s="483"/>
      <c r="D1287" s="483"/>
      <c r="E1287" s="483"/>
      <c r="F1287" s="483"/>
      <c r="G1287" s="483"/>
      <c r="H1287" s="483"/>
      <c r="I1287" s="483"/>
      <c r="J1287" s="483"/>
    </row>
    <row r="1288" customFormat="false" ht="14.25" hidden="false" customHeight="false" outlineLevel="0" collapsed="false">
      <c r="A1288" s="483"/>
      <c r="B1288" s="483"/>
      <c r="C1288" s="483"/>
      <c r="D1288" s="483"/>
      <c r="E1288" s="483"/>
      <c r="F1288" s="483"/>
      <c r="G1288" s="483"/>
      <c r="H1288" s="483"/>
      <c r="I1288" s="483"/>
      <c r="J1288" s="483"/>
    </row>
    <row r="1289" customFormat="false" ht="14.25" hidden="false" customHeight="false" outlineLevel="0" collapsed="false">
      <c r="A1289" s="483"/>
      <c r="B1289" s="483"/>
      <c r="C1289" s="483"/>
      <c r="D1289" s="483"/>
      <c r="E1289" s="483"/>
      <c r="F1289" s="483"/>
      <c r="G1289" s="483"/>
      <c r="H1289" s="483"/>
      <c r="I1289" s="483"/>
      <c r="J1289" s="483"/>
    </row>
    <row r="1290" customFormat="false" ht="14.25" hidden="false" customHeight="false" outlineLevel="0" collapsed="false">
      <c r="A1290" s="483"/>
      <c r="B1290" s="483"/>
      <c r="C1290" s="483"/>
      <c r="D1290" s="483"/>
      <c r="E1290" s="483"/>
      <c r="F1290" s="483"/>
      <c r="G1290" s="483"/>
      <c r="H1290" s="483"/>
      <c r="I1290" s="483"/>
      <c r="J1290" s="483"/>
    </row>
    <row r="1291" customFormat="false" ht="14.25" hidden="false" customHeight="false" outlineLevel="0" collapsed="false">
      <c r="A1291" s="483"/>
      <c r="B1291" s="483"/>
      <c r="C1291" s="483"/>
      <c r="D1291" s="483"/>
      <c r="E1291" s="483"/>
      <c r="F1291" s="483"/>
      <c r="G1291" s="483"/>
      <c r="H1291" s="483"/>
      <c r="I1291" s="483"/>
      <c r="J1291" s="483"/>
    </row>
    <row r="1292" customFormat="false" ht="14.25" hidden="false" customHeight="false" outlineLevel="0" collapsed="false">
      <c r="A1292" s="483"/>
      <c r="B1292" s="483"/>
      <c r="C1292" s="483"/>
      <c r="D1292" s="483"/>
      <c r="E1292" s="483"/>
      <c r="F1292" s="483"/>
      <c r="G1292" s="483"/>
      <c r="H1292" s="483"/>
      <c r="I1292" s="483"/>
      <c r="J1292" s="483"/>
    </row>
    <row r="1293" customFormat="false" ht="14.25" hidden="false" customHeight="false" outlineLevel="0" collapsed="false">
      <c r="A1293" s="483"/>
      <c r="B1293" s="483"/>
      <c r="C1293" s="483"/>
      <c r="D1293" s="483"/>
      <c r="E1293" s="483"/>
      <c r="F1293" s="483"/>
      <c r="G1293" s="483"/>
      <c r="H1293" s="483"/>
      <c r="I1293" s="483"/>
      <c r="J1293" s="483"/>
    </row>
    <row r="1294" customFormat="false" ht="14.25" hidden="false" customHeight="false" outlineLevel="0" collapsed="false">
      <c r="A1294" s="483"/>
      <c r="B1294" s="483"/>
      <c r="C1294" s="483"/>
      <c r="D1294" s="483"/>
      <c r="E1294" s="483"/>
      <c r="F1294" s="483"/>
      <c r="G1294" s="483"/>
      <c r="H1294" s="483"/>
      <c r="I1294" s="483"/>
      <c r="J1294" s="483"/>
    </row>
    <row r="1295" customFormat="false" ht="14.25" hidden="false" customHeight="false" outlineLevel="0" collapsed="false">
      <c r="A1295" s="483"/>
      <c r="B1295" s="483"/>
      <c r="C1295" s="483"/>
      <c r="D1295" s="483"/>
      <c r="E1295" s="483"/>
      <c r="F1295" s="483"/>
      <c r="G1295" s="483"/>
      <c r="H1295" s="483"/>
      <c r="I1295" s="483"/>
      <c r="J1295" s="483"/>
    </row>
    <row r="1296" customFormat="false" ht="14.25" hidden="false" customHeight="false" outlineLevel="0" collapsed="false">
      <c r="A1296" s="483"/>
      <c r="B1296" s="483"/>
      <c r="C1296" s="483"/>
      <c r="D1296" s="483"/>
      <c r="E1296" s="483"/>
      <c r="F1296" s="483"/>
      <c r="G1296" s="483"/>
      <c r="H1296" s="483"/>
      <c r="I1296" s="483"/>
      <c r="J1296" s="483"/>
    </row>
    <row r="1297" customFormat="false" ht="14.25" hidden="false" customHeight="false" outlineLevel="0" collapsed="false">
      <c r="A1297" s="483"/>
      <c r="B1297" s="483"/>
      <c r="C1297" s="483"/>
      <c r="D1297" s="483"/>
      <c r="E1297" s="483"/>
      <c r="F1297" s="483"/>
      <c r="G1297" s="483"/>
      <c r="H1297" s="483"/>
      <c r="I1297" s="483"/>
      <c r="J1297" s="483"/>
    </row>
    <row r="1298" customFormat="false" ht="14.25" hidden="false" customHeight="false" outlineLevel="0" collapsed="false">
      <c r="A1298" s="483"/>
      <c r="B1298" s="483"/>
      <c r="C1298" s="483"/>
      <c r="D1298" s="483"/>
      <c r="E1298" s="483"/>
      <c r="F1298" s="483"/>
      <c r="G1298" s="483"/>
      <c r="H1298" s="483"/>
      <c r="I1298" s="483"/>
      <c r="J1298" s="483"/>
    </row>
    <row r="1299" customFormat="false" ht="14.25" hidden="false" customHeight="false" outlineLevel="0" collapsed="false">
      <c r="A1299" s="483"/>
      <c r="B1299" s="483"/>
      <c r="C1299" s="483"/>
      <c r="D1299" s="483"/>
      <c r="E1299" s="483"/>
      <c r="F1299" s="483"/>
      <c r="G1299" s="483"/>
      <c r="H1299" s="483"/>
      <c r="I1299" s="483"/>
      <c r="J1299" s="483"/>
    </row>
    <row r="1300" customFormat="false" ht="14.25" hidden="false" customHeight="false" outlineLevel="0" collapsed="false">
      <c r="A1300" s="483"/>
      <c r="B1300" s="483"/>
      <c r="C1300" s="483"/>
      <c r="D1300" s="483"/>
      <c r="E1300" s="483"/>
      <c r="F1300" s="483"/>
      <c r="G1300" s="483"/>
      <c r="H1300" s="483"/>
      <c r="I1300" s="483"/>
      <c r="J1300" s="483"/>
    </row>
    <row r="1301" customFormat="false" ht="14.25" hidden="false" customHeight="false" outlineLevel="0" collapsed="false">
      <c r="A1301" s="483"/>
      <c r="B1301" s="483"/>
      <c r="C1301" s="483"/>
      <c r="D1301" s="483"/>
      <c r="E1301" s="483"/>
      <c r="F1301" s="483"/>
      <c r="G1301" s="483"/>
      <c r="H1301" s="483"/>
      <c r="I1301" s="483"/>
      <c r="J1301" s="483"/>
    </row>
    <row r="1302" customFormat="false" ht="14.25" hidden="false" customHeight="false" outlineLevel="0" collapsed="false">
      <c r="A1302" s="483"/>
      <c r="B1302" s="483"/>
      <c r="C1302" s="483"/>
      <c r="D1302" s="483"/>
      <c r="E1302" s="483"/>
      <c r="F1302" s="483"/>
      <c r="G1302" s="483"/>
      <c r="H1302" s="483"/>
      <c r="I1302" s="483"/>
      <c r="J1302" s="483"/>
    </row>
    <row r="1303" customFormat="false" ht="14.25" hidden="false" customHeight="false" outlineLevel="0" collapsed="false">
      <c r="A1303" s="483"/>
      <c r="B1303" s="483"/>
      <c r="C1303" s="483"/>
      <c r="D1303" s="483"/>
      <c r="E1303" s="483"/>
      <c r="F1303" s="483"/>
      <c r="G1303" s="483"/>
      <c r="H1303" s="483"/>
      <c r="I1303" s="483"/>
      <c r="J1303" s="483"/>
    </row>
    <row r="1304" customFormat="false" ht="14.25" hidden="false" customHeight="false" outlineLevel="0" collapsed="false">
      <c r="A1304" s="483"/>
      <c r="B1304" s="483"/>
      <c r="C1304" s="483"/>
      <c r="D1304" s="483"/>
      <c r="E1304" s="483"/>
      <c r="F1304" s="483"/>
      <c r="G1304" s="483"/>
      <c r="H1304" s="483"/>
      <c r="I1304" s="483"/>
      <c r="J1304" s="483"/>
    </row>
    <row r="1305" customFormat="false" ht="14.25" hidden="false" customHeight="false" outlineLevel="0" collapsed="false">
      <c r="A1305" s="483"/>
      <c r="B1305" s="483"/>
      <c r="C1305" s="483"/>
      <c r="D1305" s="483"/>
      <c r="E1305" s="483"/>
      <c r="F1305" s="483"/>
      <c r="G1305" s="483"/>
      <c r="H1305" s="483"/>
      <c r="I1305" s="483"/>
      <c r="J1305" s="483"/>
    </row>
    <row r="1306" customFormat="false" ht="14.25" hidden="false" customHeight="false" outlineLevel="0" collapsed="false">
      <c r="A1306" s="483"/>
      <c r="B1306" s="483"/>
      <c r="C1306" s="483"/>
      <c r="D1306" s="483"/>
      <c r="E1306" s="483"/>
      <c r="F1306" s="483"/>
      <c r="G1306" s="483"/>
      <c r="H1306" s="483"/>
      <c r="I1306" s="483"/>
      <c r="J1306" s="483"/>
    </row>
    <row r="1307" customFormat="false" ht="14.25" hidden="false" customHeight="false" outlineLevel="0" collapsed="false">
      <c r="A1307" s="483"/>
      <c r="B1307" s="483"/>
      <c r="C1307" s="483"/>
      <c r="D1307" s="483"/>
      <c r="E1307" s="483"/>
      <c r="F1307" s="483"/>
      <c r="G1307" s="483"/>
      <c r="H1307" s="483"/>
      <c r="I1307" s="483"/>
      <c r="J1307" s="483"/>
    </row>
    <row r="1308" customFormat="false" ht="14.25" hidden="false" customHeight="false" outlineLevel="0" collapsed="false">
      <c r="A1308" s="483"/>
      <c r="B1308" s="483"/>
      <c r="C1308" s="483"/>
      <c r="D1308" s="483"/>
      <c r="E1308" s="483"/>
      <c r="F1308" s="483"/>
      <c r="G1308" s="483"/>
      <c r="H1308" s="483"/>
      <c r="I1308" s="483"/>
      <c r="J1308" s="483"/>
    </row>
    <row r="1309" customFormat="false" ht="14.25" hidden="false" customHeight="false" outlineLevel="0" collapsed="false">
      <c r="A1309" s="483"/>
      <c r="B1309" s="483"/>
      <c r="C1309" s="483"/>
      <c r="D1309" s="483"/>
      <c r="E1309" s="483"/>
      <c r="F1309" s="483"/>
      <c r="G1309" s="483"/>
      <c r="H1309" s="483"/>
      <c r="I1309" s="483"/>
      <c r="J1309" s="483"/>
    </row>
    <row r="1310" customFormat="false" ht="14.25" hidden="false" customHeight="false" outlineLevel="0" collapsed="false">
      <c r="A1310" s="483"/>
      <c r="B1310" s="483"/>
      <c r="C1310" s="483"/>
      <c r="D1310" s="483"/>
      <c r="E1310" s="483"/>
      <c r="F1310" s="483"/>
      <c r="G1310" s="483"/>
      <c r="H1310" s="483"/>
      <c r="I1310" s="483"/>
      <c r="J1310" s="483"/>
    </row>
    <row r="1311" customFormat="false" ht="14.25" hidden="false" customHeight="false" outlineLevel="0" collapsed="false">
      <c r="A1311" s="483"/>
      <c r="B1311" s="483"/>
      <c r="C1311" s="483"/>
      <c r="D1311" s="483"/>
      <c r="E1311" s="483"/>
      <c r="F1311" s="483"/>
      <c r="G1311" s="483"/>
      <c r="H1311" s="483"/>
      <c r="I1311" s="483"/>
      <c r="J1311" s="483"/>
    </row>
    <row r="1312" customFormat="false" ht="14.25" hidden="false" customHeight="false" outlineLevel="0" collapsed="false">
      <c r="A1312" s="483"/>
      <c r="B1312" s="483"/>
      <c r="C1312" s="483"/>
      <c r="D1312" s="483"/>
      <c r="E1312" s="483"/>
      <c r="F1312" s="483"/>
      <c r="G1312" s="483"/>
      <c r="H1312" s="483"/>
      <c r="I1312" s="483"/>
      <c r="J1312" s="483"/>
    </row>
    <row r="1313" customFormat="false" ht="14.25" hidden="false" customHeight="false" outlineLevel="0" collapsed="false">
      <c r="A1313" s="483"/>
      <c r="B1313" s="483"/>
      <c r="C1313" s="483"/>
      <c r="D1313" s="483"/>
      <c r="E1313" s="483"/>
      <c r="F1313" s="483"/>
      <c r="G1313" s="483"/>
      <c r="H1313" s="483"/>
      <c r="I1313" s="483"/>
      <c r="J1313" s="483"/>
    </row>
    <row r="1314" customFormat="false" ht="14.25" hidden="false" customHeight="false" outlineLevel="0" collapsed="false">
      <c r="A1314" s="483"/>
      <c r="B1314" s="483"/>
      <c r="C1314" s="483"/>
      <c r="D1314" s="483"/>
      <c r="E1314" s="483"/>
      <c r="F1314" s="483"/>
      <c r="G1314" s="483"/>
      <c r="H1314" s="483"/>
      <c r="I1314" s="483"/>
      <c r="J1314" s="483"/>
    </row>
    <row r="1315" customFormat="false" ht="14.25" hidden="false" customHeight="false" outlineLevel="0" collapsed="false">
      <c r="A1315" s="483"/>
      <c r="B1315" s="483"/>
      <c r="C1315" s="483"/>
      <c r="D1315" s="483"/>
      <c r="E1315" s="483"/>
      <c r="F1315" s="483"/>
      <c r="G1315" s="483"/>
      <c r="H1315" s="483"/>
      <c r="I1315" s="483"/>
      <c r="J1315" s="483"/>
    </row>
    <row r="1316" customFormat="false" ht="14.25" hidden="false" customHeight="false" outlineLevel="0" collapsed="false">
      <c r="A1316" s="483"/>
      <c r="B1316" s="483"/>
      <c r="C1316" s="483"/>
      <c r="D1316" s="483"/>
      <c r="E1316" s="483"/>
      <c r="F1316" s="483"/>
      <c r="G1316" s="483"/>
      <c r="H1316" s="483"/>
      <c r="I1316" s="483"/>
      <c r="J1316" s="483"/>
    </row>
    <row r="1317" customFormat="false" ht="14.25" hidden="false" customHeight="false" outlineLevel="0" collapsed="false">
      <c r="A1317" s="483"/>
      <c r="B1317" s="483"/>
      <c r="C1317" s="483"/>
      <c r="D1317" s="483"/>
      <c r="E1317" s="483"/>
      <c r="F1317" s="483"/>
      <c r="G1317" s="483"/>
      <c r="H1317" s="483"/>
      <c r="I1317" s="483"/>
      <c r="J1317" s="483"/>
    </row>
    <row r="1318" customFormat="false" ht="14.25" hidden="false" customHeight="false" outlineLevel="0" collapsed="false">
      <c r="A1318" s="483"/>
      <c r="B1318" s="483"/>
      <c r="C1318" s="483"/>
      <c r="D1318" s="483"/>
      <c r="E1318" s="483"/>
      <c r="F1318" s="483"/>
      <c r="G1318" s="483"/>
      <c r="H1318" s="483"/>
      <c r="I1318" s="483"/>
      <c r="J1318" s="483"/>
    </row>
    <row r="1319" customFormat="false" ht="14.25" hidden="false" customHeight="false" outlineLevel="0" collapsed="false">
      <c r="A1319" s="483"/>
      <c r="B1319" s="483"/>
      <c r="C1319" s="483"/>
      <c r="D1319" s="483"/>
      <c r="E1319" s="483"/>
      <c r="F1319" s="483"/>
      <c r="G1319" s="483"/>
      <c r="H1319" s="483"/>
      <c r="I1319" s="483"/>
      <c r="J1319" s="483"/>
    </row>
    <row r="1320" customFormat="false" ht="14.25" hidden="false" customHeight="false" outlineLevel="0" collapsed="false">
      <c r="A1320" s="483"/>
      <c r="B1320" s="483"/>
      <c r="C1320" s="483"/>
      <c r="D1320" s="483"/>
      <c r="E1320" s="483"/>
      <c r="F1320" s="483"/>
      <c r="G1320" s="483"/>
      <c r="H1320" s="483"/>
      <c r="I1320" s="483"/>
      <c r="J1320" s="483"/>
    </row>
    <row r="1321" customFormat="false" ht="14.25" hidden="false" customHeight="false" outlineLevel="0" collapsed="false">
      <c r="A1321" s="483"/>
      <c r="B1321" s="483"/>
      <c r="C1321" s="483"/>
      <c r="D1321" s="483"/>
      <c r="E1321" s="483"/>
      <c r="F1321" s="483"/>
      <c r="G1321" s="483"/>
      <c r="H1321" s="483"/>
      <c r="I1321" s="483"/>
      <c r="J1321" s="483"/>
    </row>
    <row r="1322" customFormat="false" ht="14.25" hidden="false" customHeight="false" outlineLevel="0" collapsed="false">
      <c r="A1322" s="483"/>
      <c r="B1322" s="483"/>
      <c r="C1322" s="483"/>
      <c r="D1322" s="483"/>
      <c r="E1322" s="483"/>
      <c r="F1322" s="483"/>
      <c r="G1322" s="483"/>
      <c r="H1322" s="483"/>
      <c r="I1322" s="483"/>
      <c r="J1322" s="483"/>
    </row>
    <row r="1323" customFormat="false" ht="14.25" hidden="false" customHeight="false" outlineLevel="0" collapsed="false">
      <c r="A1323" s="483"/>
      <c r="B1323" s="483"/>
      <c r="C1323" s="483"/>
      <c r="D1323" s="483"/>
      <c r="E1323" s="483"/>
      <c r="F1323" s="483"/>
      <c r="G1323" s="483"/>
      <c r="H1323" s="483"/>
      <c r="I1323" s="483"/>
      <c r="J1323" s="483"/>
    </row>
    <row r="1324" customFormat="false" ht="14.25" hidden="false" customHeight="false" outlineLevel="0" collapsed="false">
      <c r="A1324" s="483"/>
      <c r="B1324" s="483"/>
      <c r="C1324" s="483"/>
      <c r="D1324" s="483"/>
      <c r="E1324" s="483"/>
      <c r="F1324" s="483"/>
      <c r="G1324" s="483"/>
      <c r="H1324" s="483"/>
      <c r="I1324" s="483"/>
      <c r="J1324" s="483"/>
    </row>
    <row r="1325" customFormat="false" ht="14.25" hidden="false" customHeight="false" outlineLevel="0" collapsed="false">
      <c r="A1325" s="483"/>
      <c r="B1325" s="483"/>
      <c r="C1325" s="483"/>
      <c r="D1325" s="483"/>
      <c r="E1325" s="483"/>
      <c r="F1325" s="483"/>
      <c r="G1325" s="483"/>
      <c r="H1325" s="483"/>
      <c r="I1325" s="483"/>
      <c r="J1325" s="483"/>
    </row>
    <row r="1326" customFormat="false" ht="14.25" hidden="false" customHeight="false" outlineLevel="0" collapsed="false">
      <c r="A1326" s="483"/>
      <c r="B1326" s="483"/>
      <c r="C1326" s="483"/>
      <c r="D1326" s="483"/>
      <c r="E1326" s="483"/>
      <c r="F1326" s="483"/>
      <c r="G1326" s="483"/>
      <c r="H1326" s="483"/>
      <c r="I1326" s="483"/>
      <c r="J1326" s="483"/>
    </row>
    <row r="1327" customFormat="false" ht="14.25" hidden="false" customHeight="false" outlineLevel="0" collapsed="false">
      <c r="A1327" s="483"/>
      <c r="B1327" s="483"/>
      <c r="C1327" s="483"/>
      <c r="D1327" s="483"/>
      <c r="E1327" s="483"/>
      <c r="F1327" s="483"/>
      <c r="G1327" s="483"/>
      <c r="H1327" s="483"/>
      <c r="I1327" s="483"/>
      <c r="J1327" s="483"/>
    </row>
    <row r="1328" customFormat="false" ht="14.25" hidden="false" customHeight="false" outlineLevel="0" collapsed="false">
      <c r="A1328" s="483"/>
      <c r="B1328" s="483"/>
      <c r="C1328" s="483"/>
      <c r="D1328" s="483"/>
      <c r="E1328" s="483"/>
      <c r="F1328" s="483"/>
      <c r="G1328" s="483"/>
      <c r="H1328" s="483"/>
      <c r="I1328" s="483"/>
      <c r="J1328" s="483"/>
    </row>
    <row r="1329" customFormat="false" ht="14.25" hidden="false" customHeight="false" outlineLevel="0" collapsed="false">
      <c r="A1329" s="483"/>
      <c r="B1329" s="483"/>
      <c r="C1329" s="483"/>
      <c r="D1329" s="483"/>
      <c r="E1329" s="483"/>
      <c r="F1329" s="483"/>
      <c r="G1329" s="483"/>
      <c r="H1329" s="483"/>
      <c r="I1329" s="483"/>
      <c r="J1329" s="483"/>
    </row>
    <row r="1330" customFormat="false" ht="14.25" hidden="false" customHeight="false" outlineLevel="0" collapsed="false">
      <c r="A1330" s="483"/>
      <c r="B1330" s="483"/>
      <c r="C1330" s="483"/>
      <c r="D1330" s="483"/>
      <c r="E1330" s="483"/>
      <c r="F1330" s="483"/>
      <c r="G1330" s="483"/>
      <c r="H1330" s="483"/>
      <c r="I1330" s="483"/>
      <c r="J1330" s="483"/>
    </row>
    <row r="1331" customFormat="false" ht="14.25" hidden="false" customHeight="false" outlineLevel="0" collapsed="false">
      <c r="A1331" s="483"/>
      <c r="B1331" s="483"/>
      <c r="C1331" s="483"/>
      <c r="D1331" s="483"/>
      <c r="E1331" s="483"/>
      <c r="F1331" s="483"/>
      <c r="G1331" s="483"/>
      <c r="H1331" s="483"/>
      <c r="I1331" s="483"/>
      <c r="J1331" s="483"/>
    </row>
    <row r="1332" customFormat="false" ht="14.25" hidden="false" customHeight="false" outlineLevel="0" collapsed="false">
      <c r="A1332" s="483"/>
      <c r="B1332" s="483"/>
      <c r="C1332" s="483"/>
      <c r="D1332" s="483"/>
      <c r="E1332" s="483"/>
      <c r="F1332" s="483"/>
      <c r="G1332" s="483"/>
      <c r="H1332" s="483"/>
      <c r="I1332" s="483"/>
      <c r="J1332" s="483"/>
    </row>
    <row r="1333" customFormat="false" ht="14.25" hidden="false" customHeight="false" outlineLevel="0" collapsed="false">
      <c r="A1333" s="483"/>
      <c r="B1333" s="483"/>
      <c r="C1333" s="483"/>
      <c r="D1333" s="483"/>
      <c r="E1333" s="483"/>
      <c r="F1333" s="483"/>
      <c r="G1333" s="483"/>
      <c r="H1333" s="483"/>
      <c r="I1333" s="483"/>
      <c r="J1333" s="483"/>
    </row>
    <row r="1334" customFormat="false" ht="14.25" hidden="false" customHeight="false" outlineLevel="0" collapsed="false">
      <c r="A1334" s="483"/>
      <c r="B1334" s="483"/>
      <c r="C1334" s="483"/>
      <c r="D1334" s="483"/>
      <c r="E1334" s="483"/>
      <c r="F1334" s="483"/>
      <c r="G1334" s="483"/>
      <c r="H1334" s="483"/>
      <c r="I1334" s="483"/>
      <c r="J1334" s="483"/>
    </row>
    <row r="1335" customFormat="false" ht="14.25" hidden="false" customHeight="false" outlineLevel="0" collapsed="false">
      <c r="A1335" s="483"/>
      <c r="B1335" s="483"/>
      <c r="C1335" s="483"/>
      <c r="D1335" s="483"/>
      <c r="E1335" s="483"/>
      <c r="F1335" s="483"/>
      <c r="G1335" s="483"/>
      <c r="H1335" s="483"/>
      <c r="I1335" s="483"/>
      <c r="J1335" s="483"/>
    </row>
    <row r="1336" customFormat="false" ht="14.25" hidden="false" customHeight="false" outlineLevel="0" collapsed="false">
      <c r="A1336" s="483"/>
      <c r="B1336" s="483"/>
      <c r="C1336" s="483"/>
      <c r="D1336" s="483"/>
      <c r="E1336" s="483"/>
      <c r="F1336" s="483"/>
      <c r="G1336" s="483"/>
      <c r="H1336" s="483"/>
      <c r="I1336" s="483"/>
      <c r="J1336" s="483"/>
    </row>
    <row r="1337" customFormat="false" ht="14.25" hidden="false" customHeight="false" outlineLevel="0" collapsed="false">
      <c r="A1337" s="483"/>
      <c r="B1337" s="483"/>
      <c r="C1337" s="483"/>
      <c r="D1337" s="483"/>
      <c r="E1337" s="483"/>
      <c r="F1337" s="483"/>
      <c r="G1337" s="483"/>
      <c r="H1337" s="483"/>
      <c r="I1337" s="483"/>
      <c r="J1337" s="483"/>
    </row>
    <row r="1338" customFormat="false" ht="14.25" hidden="false" customHeight="false" outlineLevel="0" collapsed="false">
      <c r="A1338" s="483"/>
      <c r="B1338" s="483"/>
      <c r="C1338" s="483"/>
      <c r="D1338" s="483"/>
      <c r="E1338" s="483"/>
      <c r="F1338" s="483"/>
      <c r="G1338" s="483"/>
      <c r="H1338" s="483"/>
      <c r="I1338" s="483"/>
      <c r="J1338" s="483"/>
    </row>
    <row r="1339" customFormat="false" ht="14.25" hidden="false" customHeight="false" outlineLevel="0" collapsed="false">
      <c r="A1339" s="483"/>
      <c r="B1339" s="483"/>
      <c r="C1339" s="483"/>
      <c r="D1339" s="483"/>
      <c r="E1339" s="483"/>
      <c r="F1339" s="483"/>
      <c r="G1339" s="483"/>
      <c r="H1339" s="483"/>
      <c r="I1339" s="483"/>
      <c r="J1339" s="483"/>
    </row>
    <row r="1340" customFormat="false" ht="14.25" hidden="false" customHeight="false" outlineLevel="0" collapsed="false">
      <c r="A1340" s="483"/>
      <c r="B1340" s="483"/>
      <c r="C1340" s="483"/>
      <c r="D1340" s="483"/>
      <c r="E1340" s="483"/>
      <c r="F1340" s="483"/>
      <c r="G1340" s="483"/>
      <c r="H1340" s="483"/>
      <c r="I1340" s="483"/>
      <c r="J1340" s="483"/>
    </row>
    <row r="1341" customFormat="false" ht="14.25" hidden="false" customHeight="false" outlineLevel="0" collapsed="false">
      <c r="A1341" s="483"/>
      <c r="B1341" s="483"/>
      <c r="C1341" s="483"/>
      <c r="D1341" s="483"/>
      <c r="E1341" s="483"/>
      <c r="F1341" s="483"/>
      <c r="G1341" s="483"/>
      <c r="H1341" s="483"/>
      <c r="I1341" s="483"/>
      <c r="J1341" s="483"/>
    </row>
    <row r="1342" customFormat="false" ht="14.25" hidden="false" customHeight="false" outlineLevel="0" collapsed="false">
      <c r="A1342" s="483"/>
      <c r="B1342" s="483"/>
      <c r="C1342" s="483"/>
      <c r="D1342" s="483"/>
      <c r="E1342" s="483"/>
      <c r="F1342" s="483"/>
      <c r="G1342" s="483"/>
      <c r="H1342" s="483"/>
      <c r="I1342" s="483"/>
      <c r="J1342" s="483"/>
    </row>
    <row r="1343" customFormat="false" ht="14.25" hidden="false" customHeight="false" outlineLevel="0" collapsed="false">
      <c r="A1343" s="483"/>
      <c r="B1343" s="483"/>
      <c r="C1343" s="483"/>
      <c r="D1343" s="483"/>
      <c r="E1343" s="483"/>
      <c r="F1343" s="483"/>
      <c r="G1343" s="483"/>
      <c r="H1343" s="483"/>
      <c r="I1343" s="483"/>
      <c r="J1343" s="483"/>
    </row>
    <row r="1344" customFormat="false" ht="14.25" hidden="false" customHeight="false" outlineLevel="0" collapsed="false">
      <c r="A1344" s="483"/>
      <c r="B1344" s="483"/>
      <c r="C1344" s="483"/>
      <c r="D1344" s="483"/>
      <c r="E1344" s="483"/>
      <c r="F1344" s="483"/>
      <c r="G1344" s="483"/>
      <c r="H1344" s="483"/>
      <c r="I1344" s="483"/>
      <c r="J1344" s="483"/>
    </row>
    <row r="1345" customFormat="false" ht="14.25" hidden="false" customHeight="false" outlineLevel="0" collapsed="false">
      <c r="A1345" s="483"/>
      <c r="B1345" s="483"/>
      <c r="C1345" s="483"/>
      <c r="D1345" s="483"/>
      <c r="E1345" s="483"/>
      <c r="F1345" s="483"/>
      <c r="G1345" s="483"/>
      <c r="H1345" s="483"/>
      <c r="I1345" s="483"/>
      <c r="J1345" s="483"/>
    </row>
    <row r="1346" customFormat="false" ht="14.25" hidden="false" customHeight="false" outlineLevel="0" collapsed="false">
      <c r="A1346" s="483"/>
      <c r="B1346" s="483"/>
      <c r="C1346" s="483"/>
      <c r="D1346" s="483"/>
      <c r="E1346" s="483"/>
      <c r="F1346" s="483"/>
      <c r="G1346" s="483"/>
      <c r="H1346" s="483"/>
      <c r="I1346" s="483"/>
      <c r="J1346" s="483"/>
    </row>
    <row r="1347" customFormat="false" ht="14.25" hidden="false" customHeight="false" outlineLevel="0" collapsed="false">
      <c r="A1347" s="483"/>
      <c r="B1347" s="483"/>
      <c r="C1347" s="483"/>
      <c r="D1347" s="483"/>
      <c r="E1347" s="483"/>
      <c r="F1347" s="483"/>
      <c r="G1347" s="483"/>
      <c r="H1347" s="483"/>
      <c r="I1347" s="483"/>
      <c r="J1347" s="483"/>
    </row>
    <row r="1348" customFormat="false" ht="14.25" hidden="false" customHeight="false" outlineLevel="0" collapsed="false">
      <c r="A1348" s="483"/>
      <c r="B1348" s="483"/>
      <c r="C1348" s="483"/>
      <c r="D1348" s="483"/>
      <c r="E1348" s="483"/>
      <c r="F1348" s="483"/>
      <c r="G1348" s="483"/>
      <c r="H1348" s="483"/>
      <c r="I1348" s="483"/>
      <c r="J1348" s="483"/>
    </row>
    <row r="1349" customFormat="false" ht="14.25" hidden="false" customHeight="false" outlineLevel="0" collapsed="false">
      <c r="A1349" s="483"/>
      <c r="B1349" s="483"/>
      <c r="C1349" s="483"/>
      <c r="D1349" s="483"/>
      <c r="E1349" s="483"/>
      <c r="F1349" s="483"/>
      <c r="G1349" s="483"/>
      <c r="H1349" s="483"/>
      <c r="I1349" s="483"/>
      <c r="J1349" s="483"/>
    </row>
    <row r="1350" customFormat="false" ht="14.25" hidden="false" customHeight="false" outlineLevel="0" collapsed="false">
      <c r="A1350" s="483"/>
      <c r="B1350" s="483"/>
      <c r="C1350" s="483"/>
      <c r="D1350" s="483"/>
      <c r="E1350" s="483"/>
      <c r="F1350" s="483"/>
      <c r="G1350" s="483"/>
      <c r="H1350" s="483"/>
      <c r="I1350" s="483"/>
      <c r="J1350" s="483"/>
    </row>
    <row r="1351" customFormat="false" ht="14.25" hidden="false" customHeight="false" outlineLevel="0" collapsed="false">
      <c r="A1351" s="483"/>
      <c r="B1351" s="483"/>
      <c r="C1351" s="483"/>
      <c r="D1351" s="483"/>
      <c r="E1351" s="483"/>
      <c r="F1351" s="483"/>
      <c r="G1351" s="483"/>
      <c r="H1351" s="483"/>
      <c r="I1351" s="483"/>
      <c r="J1351" s="483"/>
    </row>
    <row r="1352" customFormat="false" ht="14.25" hidden="false" customHeight="false" outlineLevel="0" collapsed="false">
      <c r="A1352" s="483"/>
      <c r="B1352" s="483"/>
      <c r="C1352" s="483"/>
      <c r="D1352" s="483"/>
      <c r="E1352" s="483"/>
      <c r="F1352" s="483"/>
      <c r="G1352" s="483"/>
      <c r="H1352" s="483"/>
      <c r="I1352" s="483"/>
      <c r="J1352" s="483"/>
    </row>
    <row r="1353" customFormat="false" ht="14.25" hidden="false" customHeight="false" outlineLevel="0" collapsed="false">
      <c r="A1353" s="483"/>
      <c r="B1353" s="483"/>
      <c r="C1353" s="483"/>
      <c r="D1353" s="483"/>
      <c r="E1353" s="483"/>
      <c r="F1353" s="483"/>
      <c r="G1353" s="483"/>
      <c r="H1353" s="483"/>
      <c r="I1353" s="483"/>
      <c r="J1353" s="483"/>
    </row>
    <row r="1354" customFormat="false" ht="14.25" hidden="false" customHeight="false" outlineLevel="0" collapsed="false">
      <c r="A1354" s="483"/>
      <c r="B1354" s="483"/>
      <c r="C1354" s="483"/>
      <c r="D1354" s="483"/>
      <c r="E1354" s="483"/>
      <c r="F1354" s="483"/>
      <c r="G1354" s="483"/>
      <c r="H1354" s="483"/>
      <c r="I1354" s="483"/>
      <c r="J1354" s="483"/>
    </row>
    <row r="1355" customFormat="false" ht="14.25" hidden="false" customHeight="false" outlineLevel="0" collapsed="false">
      <c r="A1355" s="483"/>
      <c r="B1355" s="483"/>
      <c r="C1355" s="483"/>
      <c r="D1355" s="483"/>
      <c r="E1355" s="483"/>
      <c r="F1355" s="483"/>
      <c r="G1355" s="483"/>
      <c r="H1355" s="483"/>
      <c r="I1355" s="483"/>
      <c r="J1355" s="483"/>
    </row>
    <row r="1356" customFormat="false" ht="14.25" hidden="false" customHeight="false" outlineLevel="0" collapsed="false">
      <c r="A1356" s="483"/>
      <c r="B1356" s="483"/>
      <c r="C1356" s="483"/>
      <c r="D1356" s="483"/>
      <c r="E1356" s="483"/>
      <c r="F1356" s="483"/>
      <c r="G1356" s="483"/>
      <c r="H1356" s="483"/>
      <c r="I1356" s="483"/>
      <c r="J1356" s="483"/>
    </row>
    <row r="1357" customFormat="false" ht="14.25" hidden="false" customHeight="false" outlineLevel="0" collapsed="false">
      <c r="A1357" s="483"/>
      <c r="B1357" s="483"/>
      <c r="C1357" s="483"/>
      <c r="D1357" s="483"/>
      <c r="E1357" s="483"/>
      <c r="F1357" s="483"/>
      <c r="G1357" s="483"/>
      <c r="H1357" s="483"/>
      <c r="I1357" s="483"/>
      <c r="J1357" s="483"/>
    </row>
    <row r="1358" customFormat="false" ht="14.25" hidden="false" customHeight="false" outlineLevel="0" collapsed="false">
      <c r="A1358" s="483"/>
      <c r="B1358" s="483"/>
      <c r="C1358" s="483"/>
      <c r="D1358" s="483"/>
      <c r="E1358" s="483"/>
      <c r="F1358" s="483"/>
      <c r="G1358" s="483"/>
      <c r="H1358" s="483"/>
      <c r="I1358" s="483"/>
      <c r="J1358" s="483"/>
    </row>
    <row r="1359" customFormat="false" ht="14.25" hidden="false" customHeight="false" outlineLevel="0" collapsed="false">
      <c r="A1359" s="483"/>
      <c r="B1359" s="483"/>
      <c r="C1359" s="483"/>
      <c r="D1359" s="483"/>
      <c r="E1359" s="483"/>
      <c r="F1359" s="483"/>
      <c r="G1359" s="483"/>
      <c r="H1359" s="483"/>
      <c r="I1359" s="483"/>
      <c r="J1359" s="483"/>
    </row>
    <row r="1360" customFormat="false" ht="14.25" hidden="false" customHeight="false" outlineLevel="0" collapsed="false">
      <c r="A1360" s="483"/>
      <c r="B1360" s="483"/>
      <c r="C1360" s="483"/>
      <c r="D1360" s="483"/>
      <c r="E1360" s="483"/>
      <c r="F1360" s="483"/>
      <c r="G1360" s="483"/>
      <c r="H1360" s="483"/>
      <c r="I1360" s="483"/>
      <c r="J1360" s="483"/>
    </row>
    <row r="1361" customFormat="false" ht="14.25" hidden="false" customHeight="false" outlineLevel="0" collapsed="false">
      <c r="A1361" s="483"/>
      <c r="B1361" s="483"/>
      <c r="C1361" s="483"/>
      <c r="D1361" s="483"/>
      <c r="E1361" s="483"/>
      <c r="F1361" s="483"/>
      <c r="G1361" s="483"/>
      <c r="H1361" s="483"/>
      <c r="I1361" s="483"/>
      <c r="J1361" s="483"/>
    </row>
    <row r="1362" customFormat="false" ht="14.25" hidden="false" customHeight="false" outlineLevel="0" collapsed="false">
      <c r="A1362" s="483"/>
      <c r="B1362" s="483"/>
      <c r="C1362" s="483"/>
      <c r="D1362" s="483"/>
      <c r="E1362" s="483"/>
      <c r="F1362" s="483"/>
      <c r="G1362" s="483"/>
      <c r="H1362" s="483"/>
      <c r="I1362" s="483"/>
      <c r="J1362" s="483"/>
    </row>
    <row r="1363" customFormat="false" ht="14.25" hidden="false" customHeight="false" outlineLevel="0" collapsed="false">
      <c r="A1363" s="483"/>
      <c r="B1363" s="483"/>
      <c r="C1363" s="483"/>
      <c r="D1363" s="483"/>
      <c r="E1363" s="483"/>
      <c r="F1363" s="483"/>
      <c r="G1363" s="483"/>
      <c r="H1363" s="483"/>
      <c r="I1363" s="483"/>
      <c r="J1363" s="483"/>
    </row>
    <row r="1364" customFormat="false" ht="14.25" hidden="false" customHeight="false" outlineLevel="0" collapsed="false">
      <c r="A1364" s="483"/>
      <c r="B1364" s="483"/>
      <c r="C1364" s="483"/>
      <c r="D1364" s="483"/>
      <c r="E1364" s="483"/>
      <c r="F1364" s="483"/>
      <c r="G1364" s="483"/>
      <c r="H1364" s="483"/>
      <c r="I1364" s="483"/>
      <c r="J1364" s="483"/>
    </row>
    <row r="1365" customFormat="false" ht="14.25" hidden="false" customHeight="false" outlineLevel="0" collapsed="false">
      <c r="A1365" s="483"/>
      <c r="B1365" s="483"/>
      <c r="C1365" s="483"/>
      <c r="D1365" s="483"/>
      <c r="E1365" s="483"/>
      <c r="F1365" s="483"/>
      <c r="G1365" s="483"/>
      <c r="H1365" s="483"/>
      <c r="I1365" s="483"/>
      <c r="J1365" s="483"/>
    </row>
    <row r="1366" customFormat="false" ht="14.25" hidden="false" customHeight="false" outlineLevel="0" collapsed="false">
      <c r="A1366" s="483"/>
      <c r="B1366" s="483"/>
      <c r="C1366" s="483"/>
      <c r="D1366" s="483"/>
      <c r="E1366" s="483"/>
      <c r="F1366" s="483"/>
      <c r="G1366" s="483"/>
      <c r="H1366" s="483"/>
      <c r="I1366" s="483"/>
      <c r="J1366" s="483"/>
    </row>
    <row r="1367" customFormat="false" ht="14.25" hidden="false" customHeight="false" outlineLevel="0" collapsed="false">
      <c r="A1367" s="483"/>
      <c r="B1367" s="483"/>
      <c r="C1367" s="483"/>
      <c r="D1367" s="483"/>
      <c r="E1367" s="483"/>
      <c r="F1367" s="483"/>
      <c r="G1367" s="483"/>
      <c r="H1367" s="483"/>
      <c r="I1367" s="483"/>
      <c r="J1367" s="483"/>
    </row>
    <row r="1368" customFormat="false" ht="14.25" hidden="false" customHeight="false" outlineLevel="0" collapsed="false">
      <c r="A1368" s="483"/>
      <c r="B1368" s="483"/>
      <c r="C1368" s="483"/>
      <c r="D1368" s="483"/>
      <c r="E1368" s="483"/>
      <c r="F1368" s="483"/>
      <c r="G1368" s="483"/>
      <c r="H1368" s="483"/>
      <c r="I1368" s="483"/>
      <c r="J1368" s="483"/>
    </row>
    <row r="1369" customFormat="false" ht="14.25" hidden="false" customHeight="false" outlineLevel="0" collapsed="false">
      <c r="A1369" s="483"/>
      <c r="B1369" s="483"/>
      <c r="C1369" s="483"/>
      <c r="D1369" s="483"/>
      <c r="E1369" s="483"/>
      <c r="F1369" s="483"/>
      <c r="G1369" s="483"/>
      <c r="H1369" s="483"/>
      <c r="I1369" s="483"/>
      <c r="J1369" s="483"/>
    </row>
    <row r="1370" customFormat="false" ht="14.25" hidden="false" customHeight="false" outlineLevel="0" collapsed="false">
      <c r="A1370" s="483"/>
      <c r="B1370" s="483"/>
      <c r="C1370" s="483"/>
      <c r="D1370" s="483"/>
      <c r="E1370" s="483"/>
      <c r="F1370" s="483"/>
      <c r="G1370" s="483"/>
      <c r="H1370" s="483"/>
      <c r="I1370" s="483"/>
      <c r="J1370" s="483"/>
    </row>
    <row r="1371" customFormat="false" ht="14.25" hidden="false" customHeight="false" outlineLevel="0" collapsed="false">
      <c r="A1371" s="483"/>
      <c r="B1371" s="483"/>
      <c r="C1371" s="483"/>
      <c r="D1371" s="483"/>
      <c r="E1371" s="483"/>
      <c r="F1371" s="483"/>
      <c r="G1371" s="483"/>
      <c r="H1371" s="483"/>
      <c r="I1371" s="483"/>
      <c r="J1371" s="483"/>
    </row>
    <row r="1372" customFormat="false" ht="14.25" hidden="false" customHeight="false" outlineLevel="0" collapsed="false">
      <c r="A1372" s="483"/>
      <c r="B1372" s="483"/>
      <c r="C1372" s="483"/>
      <c r="D1372" s="483"/>
      <c r="E1372" s="483"/>
      <c r="F1372" s="483"/>
      <c r="G1372" s="483"/>
      <c r="H1372" s="483"/>
      <c r="I1372" s="483"/>
      <c r="J1372" s="483"/>
    </row>
    <row r="1373" customFormat="false" ht="14.25" hidden="false" customHeight="false" outlineLevel="0" collapsed="false">
      <c r="A1373" s="483"/>
      <c r="B1373" s="483"/>
      <c r="C1373" s="483"/>
      <c r="D1373" s="483"/>
      <c r="E1373" s="483"/>
      <c r="F1373" s="483"/>
      <c r="G1373" s="483"/>
      <c r="H1373" s="483"/>
      <c r="I1373" s="483"/>
      <c r="J1373" s="483"/>
    </row>
    <row r="1374" customFormat="false" ht="14.25" hidden="false" customHeight="false" outlineLevel="0" collapsed="false">
      <c r="A1374" s="483"/>
      <c r="B1374" s="483"/>
      <c r="C1374" s="483"/>
      <c r="D1374" s="483"/>
      <c r="E1374" s="483"/>
      <c r="F1374" s="483"/>
      <c r="G1374" s="483"/>
      <c r="H1374" s="483"/>
      <c r="I1374" s="483"/>
      <c r="J1374" s="483"/>
    </row>
    <row r="1375" customFormat="false" ht="14.25" hidden="false" customHeight="false" outlineLevel="0" collapsed="false">
      <c r="A1375" s="483"/>
      <c r="B1375" s="483"/>
      <c r="C1375" s="483"/>
      <c r="D1375" s="483"/>
      <c r="E1375" s="483"/>
      <c r="F1375" s="483"/>
      <c r="G1375" s="483"/>
      <c r="H1375" s="483"/>
      <c r="I1375" s="483"/>
      <c r="J1375" s="483"/>
    </row>
    <row r="1376" customFormat="false" ht="14.25" hidden="false" customHeight="false" outlineLevel="0" collapsed="false">
      <c r="A1376" s="483"/>
      <c r="B1376" s="483"/>
      <c r="C1376" s="483"/>
      <c r="D1376" s="483"/>
      <c r="E1376" s="483"/>
      <c r="F1376" s="483"/>
      <c r="G1376" s="483"/>
      <c r="H1376" s="483"/>
      <c r="I1376" s="483"/>
      <c r="J1376" s="483"/>
    </row>
    <row r="1377" customFormat="false" ht="14.25" hidden="false" customHeight="false" outlineLevel="0" collapsed="false">
      <c r="J1377" s="484"/>
      <c r="N1377" s="484"/>
    </row>
    <row r="1378" customFormat="false" ht="14.25" hidden="false" customHeight="false" outlineLevel="0" collapsed="false">
      <c r="J1378" s="484"/>
    </row>
  </sheetData>
  <autoFilter ref="A37:J1377"/>
  <mergeCells count="1">
    <mergeCell ref="A1:G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item1.xml><?xml version="1.0" encoding="utf-8"?>
<p:properties xmlns:p="http://schemas.microsoft.com/office/2006/metadata/properties" xmlns:xsi="http://www.w3.org/2001/XMLSchema-instance" xmlns:pc="http://schemas.microsoft.com/office/infopath/2007/PartnerControls">
  <documentManagement>
    <HiddenMetaDataClassificationField0 xmlns="16d8d3e6-ede9-4fa3-9c2a-573c2c3da38c">
      <Terms xmlns="http://schemas.microsoft.com/office/infopath/2007/PartnerControls"/>
    </HiddenMetaDataClassificationField0>
    <HiddenMetaDataDepartmentField0 xmlns="16d8d3e6-ede9-4fa3-9c2a-573c2c3da38c">
      <Terms xmlns="http://schemas.microsoft.com/office/infopath/2007/PartnerControls">
        <TermInfo>
          <TermName>UF</TermName>
          <TermId>1a489efc-9dc0-49d2-9d8a-29f38130a0fc</TermId>
        </TermInfo>
      </Terms>
    </HiddenMetaDataDepartmentField0>
    <TaxCatchAll xmlns="16d8d3e6-ede9-4fa3-9c2a-573c2c3da38c">
      <Value>2</Value>
      <Value>1</Value>
    </TaxCatchAll>
    <HiddenMetaDataKeywordField0 xmlns="16d8d3e6-ede9-4fa3-9c2a-573c2c3da38c">
      <Terms xmlns="http://schemas.microsoft.com/office/infopath/2007/PartnerControls">
        <TermInfo>
          <TermName>Administration</TermName>
          <TermId>3e7ed282-1bc4-4c6a-8249-acd3ff4d2b33</TermId>
        </TermInfo>
      </Terms>
    </HiddenMetaDataKeywordField0>
    <_dlc_DocId xmlns="16d8d3e6-ede9-4fa3-9c2a-573c2c3da38c">ZRS52Q25S4KR-230950903-1581</_dlc_DocId>
    <_dlc_DocIdUrl xmlns="16d8d3e6-ede9-4fa3-9c2a-573c2c3da38c">
      <Url>https://kishare.ki.se/sites/riksrevisionen/_layouts/15/DocIdRedir.aspx?ID=ZRS52Q25S4KR-230950903-1581</Url>
      <Description>ZRS52Q25S4KR-230950903-1581</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KI Share Document" ma:contentTypeID="0x0101005F2EAC119F86453F8773A10334E600AE00E1B8F232B695CC4B8344D87544FF7F16" ma:contentTypeVersion="2" ma:contentTypeDescription="" ma:contentTypeScope="" ma:versionID="26ef23f1d3ac71b92c1f16f9af292c59">
  <xsd:schema xmlns:xsd="http://www.w3.org/2001/XMLSchema" xmlns:xs="http://www.w3.org/2001/XMLSchema" xmlns:p="http://schemas.microsoft.com/office/2006/metadata/properties" xmlns:ns2="16d8d3e6-ede9-4fa3-9c2a-573c2c3da38c" targetNamespace="http://schemas.microsoft.com/office/2006/metadata/properties" ma:root="true" ma:fieldsID="05e54a806e1aeb61089b040079e51b37" ns2:_="">
    <xsd:import namespace="16d8d3e6-ede9-4fa3-9c2a-573c2c3da38c"/>
    <xsd:element name="properties">
      <xsd:complexType>
        <xsd:sequence>
          <xsd:element name="documentManagement">
            <xsd:complexType>
              <xsd:all>
                <xsd:element ref="ns2:_dlc_DocId" minOccurs="0"/>
                <xsd:element ref="ns2:_dlc_DocIdUrl" minOccurs="0"/>
                <xsd:element ref="ns2:_dlc_DocIdPersistId" minOccurs="0"/>
                <xsd:element ref="ns2:HiddenMetaDataDepartmentField0" minOccurs="0"/>
                <xsd:element ref="ns2:HiddenMetaDataClassificationField0" minOccurs="0"/>
                <xsd:element ref="ns2:HiddenMetaDataKeywordField0"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d8d3e6-ede9-4fa3-9c2a-573c2c3da38c"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denMetaDataDepartmentField0" ma:index="12" nillable="true" ma:taxonomy="true" ma:internalName="HiddenMetaDataDepartmentField0" ma:taxonomyFieldName="KIDepartment" ma:displayName="Department" ma:fieldId="{39c53a99-a20b-486b-adb5-eaacf3482c73}" ma:sspId="81ce1fd3-49f6-4fbb-bae9-c017e5728020" ma:termSetId="039c22e9-41c4-4ede-928b-9e3205d31739" ma:anchorId="00000000-0000-0000-0000-000000000000" ma:open="false" ma:isKeyword="false">
      <xsd:complexType>
        <xsd:sequence>
          <xsd:element ref="pc:Terms" minOccurs="0" maxOccurs="1"/>
        </xsd:sequence>
      </xsd:complexType>
    </xsd:element>
    <xsd:element name="HiddenMetaDataClassificationField0" ma:index="14" nillable="true" ma:taxonomy="true" ma:internalName="HiddenMetaDataClassificationField0" ma:taxonomyFieldName="Classification" ma:displayName="Classification" ma:fieldId="{6b5032cf-0d54-47bb-9bd8-8e24b9891931}" ma:sspId="81ce1fd3-49f6-4fbb-bae9-c017e5728020" ma:termSetId="bb95fb9b-b3a8-4991-8826-c7d05a49ee19" ma:anchorId="00000000-0000-0000-0000-000000000000" ma:open="false" ma:isKeyword="false">
      <xsd:complexType>
        <xsd:sequence>
          <xsd:element ref="pc:Terms" minOccurs="0" maxOccurs="1"/>
        </xsd:sequence>
      </xsd:complexType>
    </xsd:element>
    <xsd:element name="HiddenMetaDataKeywordField0" ma:index="16" ma:taxonomy="true" ma:internalName="HiddenMetaDataKeywordField0" ma:taxonomyFieldName="KIKeyword" ma:displayName="Keyword" ma:fieldId="{ae57e6e4-4d61-40e7-9f35-e411403a70ac}" ma:sspId="81ce1fd3-49f6-4fbb-bae9-c017e5728020" ma:termSetId="654eb455-71f3-4a51-98b8-b116de70d743" ma:anchorId="00000000-0000-0000-0000-000000000000" ma:open="false" ma:isKeyword="false">
      <xsd:complexType>
        <xsd:sequence>
          <xsd:element ref="pc:Terms" minOccurs="0" maxOccurs="1"/>
        </xsd:sequence>
      </xsd:complexType>
    </xsd:element>
    <xsd:element name="TaxCatchAll" ma:index="17" nillable="true" ma:displayName="Taxonomy Catch All Column" ma:description="" ma:hidden="true" ma:list="{a123c0df-fe96-4891-8b94-e591ad84d99e}" ma:internalName="TaxCatchAll" ma:showField="CatchAllData" ma:web="16d8d3e6-ede9-4fa3-9c2a-573c2c3da38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09E00998-CEB1-406C-B9DA-6460BD93EED1}">
  <ds:schemaRefs>
    <ds:schemaRef ds:uri="http://schemas.microsoft.com/office/infopath/2007/PartnerControls"/>
    <ds:schemaRef ds:uri="http://schemas.microsoft.com/office/2006/metadata/properties"/>
    <ds:schemaRef ds:uri="http://purl.org/dc/elements/1.1/"/>
    <ds:schemaRef ds:uri="http://purl.org/dc/terms/"/>
    <ds:schemaRef ds:uri="http://purl.org/dc/dcmitype/"/>
    <ds:schemaRef ds:uri="http://schemas.microsoft.com/office/2006/documentManagement/types"/>
    <ds:schemaRef ds:uri="http://www.w3.org/XML/1998/namespace"/>
    <ds:schemaRef ds:uri="http://schemas.openxmlformats.org/package/2006/metadata/core-properties"/>
    <ds:schemaRef ds:uri="16d8d3e6-ede9-4fa3-9c2a-573c2c3da38c"/>
  </ds:schemaRefs>
</ds:datastoreItem>
</file>

<file path=customXml/itemProps2.xml><?xml version="1.0" encoding="utf-8"?>
<ds:datastoreItem xmlns:ds="http://schemas.openxmlformats.org/officeDocument/2006/customXml" ds:itemID="{38759502-E535-43AD-AEA8-97F41195AF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d8d3e6-ede9-4fa3-9c2a-573c2c3da3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B5F9B87-C1C2-4B32-8038-C942D1135E1E}">
  <ds:schemaRefs>
    <ds:schemaRef ds:uri="http://schemas.microsoft.com/sharepoint/v3/contenttype/forms"/>
  </ds:schemaRefs>
</ds:datastoreItem>
</file>

<file path=customXml/itemProps4.xml><?xml version="1.0" encoding="utf-8"?>
<ds:datastoreItem xmlns:ds="http://schemas.openxmlformats.org/officeDocument/2006/customXml" ds:itemID="{681AB589-0964-476D-8DB1-4E96E8E31C5F}">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emplate/>
  <TotalTime>10</TotalTime>
  <Application>LibreOffice/7.0.4.2$Linux_X86_64 LibreOffice_project/00$Build-2</Application>
  <AppVersion>15.0000</AppVersion>
  <Company>Karolinska Institutet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2017-02-10T08:18:35Z</dcterms:created>
  <dc:creator>Paavo Ahtiainen</dc:creator>
  <dc:description/>
  <dc:language>en-GB</dc:language>
  <cp:lastModifiedBy>Martin Gerdin Wärnberg</cp:lastModifiedBy>
  <cp:lastPrinted>2017-07-04T07:09:43Z</cp:lastPrinted>
  <dcterms:modified xsi:type="dcterms:W3CDTF">2023-09-21T19:44:38Z</dcterms:modified>
  <cp:revision>2</cp:revision>
  <dc:subject/>
  <dc:title>Forskningskalkylmall bidrag och uppdrag</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
  </property>
  <property fmtid="{D5CDD505-2E9C-101B-9397-08002B2CF9AE}" pid="3" name="ContentTypeId">
    <vt:lpwstr>0x0101005F2EAC119F86453F8773A10334E600AE00E1B8F232B695CC4B8344D87544FF7F16</vt:lpwstr>
  </property>
  <property fmtid="{D5CDD505-2E9C-101B-9397-08002B2CF9AE}" pid="4" name="KIDepartment">
    <vt:lpwstr>1;#UF|1a489efc-9dc0-49d2-9d8a-29f38130a0fc</vt:lpwstr>
  </property>
  <property fmtid="{D5CDD505-2E9C-101B-9397-08002B2CF9AE}" pid="5" name="KIKeyword">
    <vt:lpwstr>2;#Administration|3e7ed282-1bc4-4c6a-8249-acd3ff4d2b33</vt:lpwstr>
  </property>
  <property fmtid="{D5CDD505-2E9C-101B-9397-08002B2CF9AE}" pid="6" name="_dlc_DocIdItemGuid">
    <vt:lpwstr>e3868b11-c513-4bac-a8f3-05083e0aa773</vt:lpwstr>
  </property>
</Properties>
</file>