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in/Documents/advance-trauma-trial/budget/"/>
    </mc:Choice>
  </mc:AlternateContent>
  <xr:revisionPtr revIDLastSave="0" documentId="13_ncr:1_{D39B507A-20CB-CF40-88E8-D7D1635B9AF5}" xr6:coauthVersionLast="47" xr6:coauthVersionMax="47" xr10:uidLastSave="{00000000-0000-0000-0000-000000000000}"/>
  <bookViews>
    <workbookView xWindow="1900" yWindow="1820" windowWidth="27240" windowHeight="16440" xr2:uid="{752AB9D1-0F11-6D41-A13D-18D549573EE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9" i="1"/>
  <c r="B5" i="1"/>
  <c r="B6" i="1"/>
  <c r="B7" i="1" s="1"/>
  <c r="B4" i="1"/>
  <c r="B10" i="1" l="1"/>
</calcChain>
</file>

<file path=xl/sharedStrings.xml><?xml version="1.0" encoding="utf-8"?>
<sst xmlns="http://schemas.openxmlformats.org/spreadsheetml/2006/main" count="14" uniqueCount="14">
  <si>
    <t>Grants</t>
  </si>
  <si>
    <t>Salary VR</t>
  </si>
  <si>
    <t>SLS</t>
  </si>
  <si>
    <t>ALF</t>
  </si>
  <si>
    <t>VR - salary - planned invoices</t>
  </si>
  <si>
    <t>Total</t>
  </si>
  <si>
    <t>Total available after OH</t>
  </si>
  <si>
    <t>Comments</t>
  </si>
  <si>
    <t>Project grant from SLS</t>
  </si>
  <si>
    <t xml:space="preserve">Funding available for project costs from ALF grant </t>
  </si>
  <si>
    <t>Remaining funds from 7550000 VR grant after salary and planned invoices from TGI for batch 1 and 2 have been accounted for</t>
  </si>
  <si>
    <t>15% of salary per year for 3 years</t>
  </si>
  <si>
    <t>Total salary remaining</t>
  </si>
  <si>
    <t xml:space="preserve">Total available if salary included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</si>
</sst>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8D675-9E66-5545-B1BC-786C93D43A1C}">
  <dimension ref="A1:C10"/>
  <sheetViews>
    <sheetView tabSelected="1" workbookViewId="0">
      <selection activeCell="F9" sqref="F9"/>
    </sheetView>
  </sheetViews>
  <sheetFormatPr baseColWidth="10" defaultRowHeight="16" x14ac:dyDescent="0.2"/>
  <sheetData>
    <row r="1" spans="1:3" x14ac:dyDescent="0.2">
      <c r="A1" t="s">
        <v>0</v>
      </c>
      <c r="C1" t="s">
        <v>7</v>
      </c>
    </row>
    <row r="2" spans="1:3" x14ac:dyDescent="0.2">
      <c r="A2" t="s">
        <v>1</v>
      </c>
      <c r="B2">
        <f>200000*1.254*3</f>
        <v>752400</v>
      </c>
      <c r="C2" t="s">
        <v>11</v>
      </c>
    </row>
    <row r="3" spans="1:3" x14ac:dyDescent="0.2">
      <c r="A3" t="s">
        <v>2</v>
      </c>
      <c r="B3">
        <v>350000</v>
      </c>
      <c r="C3" t="s">
        <v>8</v>
      </c>
    </row>
    <row r="4" spans="1:3" x14ac:dyDescent="0.2">
      <c r="A4" t="s">
        <v>3</v>
      </c>
      <c r="B4">
        <f>1250000/2</f>
        <v>625000</v>
      </c>
      <c r="C4" t="s">
        <v>9</v>
      </c>
    </row>
    <row r="5" spans="1:3" x14ac:dyDescent="0.2">
      <c r="A5" t="s">
        <v>4</v>
      </c>
      <c r="B5">
        <f>7550000-(510000*5)-(3710000*1.254)</f>
        <v>347660</v>
      </c>
      <c r="C5" t="s">
        <v>10</v>
      </c>
    </row>
    <row r="6" spans="1:3" x14ac:dyDescent="0.2">
      <c r="A6" t="s">
        <v>5</v>
      </c>
      <c r="B6">
        <f>SUM(B2:B5)</f>
        <v>2075060</v>
      </c>
    </row>
    <row r="7" spans="1:3" x14ac:dyDescent="0.2">
      <c r="A7" t="s">
        <v>6</v>
      </c>
      <c r="B7" s="1">
        <f>B6/1.254</f>
        <v>1654752.7910685805</v>
      </c>
    </row>
    <row r="9" spans="1:3" x14ac:dyDescent="0.2">
      <c r="A9" t="s">
        <v>12</v>
      </c>
      <c r="B9">
        <f>510000*5-B2-(B2/3*2)</f>
        <v>1296000</v>
      </c>
    </row>
    <row r="10" spans="1:3" x14ac:dyDescent="0.2">
      <c r="A10" t="s">
        <v>13</v>
      </c>
      <c r="B10">
        <f>(B6+B9)/1.254</f>
        <v>2688245.6140350876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Gerdin Wärnberg</dc:creator>
  <cp:lastModifiedBy>Martin Gerdin Wärnberg</cp:lastModifiedBy>
  <dcterms:created xsi:type="dcterms:W3CDTF">2025-07-15T03:39:24Z</dcterms:created>
  <dcterms:modified xsi:type="dcterms:W3CDTF">2025-09-15T05:30:02Z</dcterms:modified>
</cp:coreProperties>
</file>